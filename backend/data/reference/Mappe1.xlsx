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endeconsultant-my.sharepoint.com/personal/j_zende_zende-consultant_de/Documents/Desktop/AAA Kurzspeicher/"/>
    </mc:Choice>
  </mc:AlternateContent>
  <xr:revisionPtr revIDLastSave="4" documentId="8_{B87875FF-C8DD-4896-BB48-6EABA7AD58FA}" xr6:coauthVersionLast="47" xr6:coauthVersionMax="47" xr10:uidLastSave="{55BB6176-4C50-4EB4-B4BA-AA6E9A0AE139}"/>
  <bookViews>
    <workbookView xWindow="-30828" yWindow="-108" windowWidth="30936" windowHeight="16776" xr2:uid="{09C890CC-320B-49C4-9616-202699222762}"/>
  </bookViews>
  <sheets>
    <sheet name="Costing_Base_Data" sheetId="1" r:id="rId1"/>
  </sheets>
  <externalReferences>
    <externalReference r:id="rId2"/>
    <externalReference r:id="rId3"/>
    <externalReference r:id="rId4"/>
    <externalReference r:id="rId5"/>
  </externalReferences>
  <definedNames>
    <definedName name="\H">[1]Asset!#REF!</definedName>
    <definedName name="\P">#REF!</definedName>
    <definedName name="\PJAN">[2]Asset!#REF!</definedName>
    <definedName name="__123Graph_A" hidden="1">[3]Parameter1!#REF!</definedName>
    <definedName name="__123Graph_B" hidden="1">#REF!</definedName>
    <definedName name="__123Graph_C" hidden="1">[4]Veh!#REF!</definedName>
    <definedName name="__123Graph_D" hidden="1">#REF!</definedName>
    <definedName name="__123Graph_E" hidden="1">[4]Veh!#REF!</definedName>
    <definedName name="__123Graph_F" hidden="1">#REF!</definedName>
    <definedName name="__123Graph_X" hidden="1">#REF!</definedName>
    <definedName name="__r34et" hidden="1">{"Invest mit Steuern",#N/A,FALSE,"Rg."}</definedName>
    <definedName name="_aa2" hidden="1">{"Stand_10y",#N/A,FALSE,"LocCur";"Stand_10y",#N/A,FALSE,"DM"}</definedName>
    <definedName name="_Fill" hidden="1">#REF!</definedName>
    <definedName name="_xlnm._FilterDatabase" hidden="1">#REF!</definedName>
    <definedName name="_Key1" hidden="1">#REF!</definedName>
    <definedName name="_Order1" hidden="1">0</definedName>
    <definedName name="_Order2" hidden="1">0</definedName>
    <definedName name="_r34et" hidden="1">{"Invest mit Steuern",#N/A,FALSE,"Rg."}</definedName>
    <definedName name="_SHB2000">#REF!</definedName>
    <definedName name="_SHB2001">#REF!</definedName>
    <definedName name="_SHB820">#REF!</definedName>
    <definedName name="_Sort" hidden="1">#REF!</definedName>
    <definedName name="_Toc123783556">_1D_\Do:#REF!</definedName>
    <definedName name="a" hidden="1">#REF!</definedName>
    <definedName name="ä" hidden="1">{"Invest ohne Steuern",#N/A,FALSE,"Rg."}</definedName>
    <definedName name="aa" hidden="1">{"Stand_10y",#N/A,FALSE,"LocCur";"Stand_10y",#N/A,FALSE,"DM"}</definedName>
    <definedName name="ää" hidden="1">{"Invest ohne Steuern",#N/A,FALSE,"Rg."}</definedName>
    <definedName name="aaa" hidden="1">{"Standard",#N/A,FALSE,"BackUp"}</definedName>
    <definedName name="aaaa" hidden="1">{"GuV_10y",#N/A,FALSE,"LocCur";"Stand_10y",#N/A,FALSE,"DM"}</definedName>
    <definedName name="ääää" hidden="1">{"Standard",#N/A,FALSE,"BackUp"}</definedName>
    <definedName name="aaaaa" hidden="1">{"Invest mit Steuern",#N/A,FALSE,"Rg."}</definedName>
    <definedName name="äääää" hidden="1">{"GuV_10y",#N/A,FALSE,"LocCur";"Stand_10y",#N/A,FALSE,"DM"}</definedName>
    <definedName name="aaaaaa" hidden="1">{"Invest ohne Steuern",#N/A,FALSE,"Rg."}</definedName>
    <definedName name="ääääää" hidden="1">{"Invest mit Steuern",#N/A,FALSE,"Rg."}</definedName>
    <definedName name="äääääääääää" hidden="1">{"Invest ohne Steuern",#N/A,FALSE,"Rg."}</definedName>
    <definedName name="aaddasda" hidden="1">{"Stand_10y",#N/A,FALSE,"LocCur";"Stand_10y",#N/A,FALSE,"DM"}</definedName>
    <definedName name="aawa" hidden="1">{"Invest mit Steuern",#N/A,FALSE,"Rg."}</definedName>
    <definedName name="AccessDatabase" hidden="1">"D:\Zamil_Plastics\PET\Inventory_Reports\Inventory_Movement\August_2001\Inventory_Movement_Aug_2001_PET.mdb"</definedName>
    <definedName name="adada" hidden="1">{"Invest ohne Steuern",#N/A,FALSE,"Rg."}</definedName>
    <definedName name="adadd" hidden="1">#N/A</definedName>
    <definedName name="aeqe" hidden="1">{"Standard",#N/A,FALSE,"BackUp"}</definedName>
    <definedName name="APR">#REF!</definedName>
    <definedName name="asasa" hidden="1">{"Standard",#N/A,FALSE,"BackUp"}</definedName>
    <definedName name="asd">#REF!</definedName>
    <definedName name="asss">#REF!</definedName>
    <definedName name="asssd">#REF!</definedName>
    <definedName name="AUG">#REF!</definedName>
    <definedName name="bdgbdg" hidden="1">#N/A</definedName>
    <definedName name="bdn" hidden="1">{"Stand_10y",#N/A,FALSE,"LocCur";"Stand_10y",#N/A,FALSE,"DM"}</definedName>
    <definedName name="bhdhd" hidden="1">#N/A</definedName>
    <definedName name="Bottle_volume">#REF!,#REF!</definedName>
    <definedName name="budbd" hidden="1">{"Standard",#N/A,FALSE,"BackUp"}</definedName>
    <definedName name="Button_1">"Inventory_Movement_Aug_2001_PET_slsjour_08_01_List"</definedName>
    <definedName name="bvsdgg" hidden="1">{"Invest ohne Steuern",#N/A,FALSE,"Rg."}</definedName>
    <definedName name="Cavity">#REF!,#REF!</definedName>
    <definedName name="ccccc" hidden="1">{"Stand_10y",#N/A,FALSE,"LocCur";"Stand_10y",#N/A,FALSE,"DM"}</definedName>
    <definedName name="Cost">21</definedName>
    <definedName name="crhist" hidden="1">{"Stand_10y",#N/A,FALSE,"LocCur";"Stand_10y",#N/A,FALSE,"DM"}</definedName>
    <definedName name="Cycle">#REF!,#REF!</definedName>
    <definedName name="d" hidden="1">#N/A</definedName>
    <definedName name="dadad" hidden="1">{"Invest mit Steuern",#N/A,FALSE,"Rg."}</definedName>
    <definedName name="dbdbh" hidden="1">{"GuV_10y",#N/A,FALSE,"LocCur";"Stand_10y",#N/A,FALSE,"DM"}</definedName>
    <definedName name="dd" hidden="1">#N/A</definedName>
    <definedName name="dddddd" hidden="1">#N/A</definedName>
    <definedName name="DEC">#REF!</definedName>
    <definedName name="DEFASDFASDF">#REF!</definedName>
    <definedName name="Description">2</definedName>
    <definedName name="DFASDFAWF">#REF!</definedName>
    <definedName name="dfdfdfg" hidden="1">{"Invest ohne Steuern",#N/A,FALSE,"Rg."}</definedName>
    <definedName name="dffsf" hidden="1">#N/A</definedName>
    <definedName name="dfh" hidden="1">{#N/A,#N/A,FALSE,"Übersicht";#N/A,#N/A,FALSE,"Spritzerei";#N/A,#N/A,FALSE,"Lackierung";#N/A,#N/A,FALSE,"Logistik";#N/A,#N/A,FALSE,"Techn. Planung"}</definedName>
    <definedName name="dfkdf" hidden="1">{"GuV_10y",#N/A,FALSE,"LocCur";"Stand_10y",#N/A,FALSE,"DM"}</definedName>
    <definedName name="dfnhdf" hidden="1">#N/A</definedName>
    <definedName name="dfnmdf" hidden="1">{"Invest mit Steuern",#N/A,FALSE,"Rg."}</definedName>
    <definedName name="dfsf" hidden="1">#N/A</definedName>
    <definedName name="dg" hidden="1">{"Invest mit Steuern",#N/A,FALSE,"Rg."}</definedName>
    <definedName name="dgddrt" hidden="1">{"Invest mit Steuern",#N/A,FALSE,"Rg."}</definedName>
    <definedName name="dgdfdf" hidden="1">{"GuV_10y",#N/A,FALSE,"LocCur";"Stand_10y",#N/A,FALSE,"DM"}</definedName>
    <definedName name="dgdjfjkf" hidden="1">{"Standard",#N/A,FALSE,"BackUp"}</definedName>
    <definedName name="dgdssa" hidden="1">{"Standard",#N/A,FALSE,"BackUp"}</definedName>
    <definedName name="dgdt" hidden="1">{"Stand_10y",#N/A,FALSE,"LocCur";"Stand_10y",#N/A,FALSE,"DM"}</definedName>
    <definedName name="dgee" hidden="1">{"Invest ohne Steuern",#N/A,FALSE,"Rg."}</definedName>
    <definedName name="dgfhgkgk" hidden="1">{"Invest ohne Steuern",#N/A,FALSE,"Rg."}</definedName>
    <definedName name="dgsdrwr" hidden="1">{"Invest mit Steuern",#N/A,FALSE,"Rg."}</definedName>
    <definedName name="dhndj" hidden="1">{"Invest ohne Steuern",#N/A,FALSE,"Rg."}</definedName>
    <definedName name="dhrr" hidden="1">{"Standard",#N/A,FALSE,"BackUp"}</definedName>
    <definedName name="dkld" hidden="1">{"Stand_10y",#N/A,FALSE,"LocCur";"Stand_10y",#N/A,FALSE,"DM"}</definedName>
    <definedName name="dl" hidden="1">{"Stand_10y",#N/A,FALSE,"LocCur";"Stand_10y",#N/A,FALSE,"DM"}</definedName>
    <definedName name="dnnd" hidden="1">{"Invest mit Steuern",#N/A,FALSE,"Rg."}</definedName>
    <definedName name="_xlnm.Print_Area">#REF!</definedName>
    <definedName name="_xlnm.Print_Titles">#REF!</definedName>
    <definedName name="dssdd" hidden="1">{"Invest mit Steuern",#N/A,FALSE,"Rg."}</definedName>
    <definedName name="dtete" hidden="1">{"Invest mit Steuern",#N/A,FALSE,"Rg."}</definedName>
    <definedName name="dwefer" hidden="1">{"Invest ohne Steuern",#N/A,FALSE,"Rg."}</definedName>
    <definedName name="ee" hidden="1">{"Stand_10y",#N/A,FALSE,"LocCur";"Stand_10y",#N/A,FALSE,"DM"}</definedName>
    <definedName name="eee" hidden="1">{"Invest ohne Steuern",#N/A,FALSE,"Rg."}</definedName>
    <definedName name="eqw" hidden="1">{"Invest ohne Steuern",#N/A,FALSE,"Rg."}</definedName>
    <definedName name="eqwe" hidden="1">{"Stand_10y",#N/A,FALSE,"LocCur";"Stand_10y",#N/A,FALSE,"DM"}</definedName>
    <definedName name="eret" hidden="1">{"Stand_10y",#N/A,FALSE,"LocCur";"Stand_10y",#N/A,FALSE,"DM"}</definedName>
    <definedName name="erfff" hidden="1">{"GuV_10y",#N/A,FALSE,"LocCur";"Stand_10y",#N/A,FALSE,"DM"}</definedName>
    <definedName name="ertrfg" hidden="1">{"Stand_10y",#N/A,FALSE,"LocCur";"Stand_10y",#N/A,FALSE,"DM"}</definedName>
    <definedName name="ertz" hidden="1">Main.SAPF4Help()</definedName>
    <definedName name="ertzu" hidden="1">Main.SAPF4Help()</definedName>
    <definedName name="etdet" hidden="1">{"GuV_10y",#N/A,FALSE,"LocCur";"Stand_10y",#N/A,FALSE,"DM"}</definedName>
    <definedName name="etdgdt" hidden="1">{"Invest mit Steuern",#N/A,FALSE,"Rg."}</definedName>
    <definedName name="eteet" hidden="1">{"GuV_10y",#N/A,FALSE,"LocCur";"Stand_10y",#N/A,FALSE,"DM"}</definedName>
    <definedName name="etete" hidden="1">#N/A</definedName>
    <definedName name="etrtgg" hidden="1">{"GuV_10y",#N/A,FALSE,"LocCur";"Stand_10y",#N/A,FALSE,"DM"}</definedName>
    <definedName name="etxddse" hidden="1">{"Standard",#N/A,FALSE,"BackUp"}</definedName>
    <definedName name="ewr3e" hidden="1">#N/A</definedName>
    <definedName name="ewwerfw" hidden="1">{"Invest mit Steuern",#N/A,FALSE,"Rg."}</definedName>
    <definedName name="f" hidden="1">{"GuV_10y",#N/A,FALSE,"LocCur";"Stand_10y",#N/A,FALSE,"DM"}</definedName>
    <definedName name="fbhfbhf" hidden="1">#N/A</definedName>
    <definedName name="fdgs" hidden="1">{"Invest mit Steuern",#N/A,FALSE,"Rg."}</definedName>
    <definedName name="fdhf" hidden="1">#N/A</definedName>
    <definedName name="fdvsfw" hidden="1">{"Invest mit Steuern",#N/A,FALSE,"Rg."}</definedName>
    <definedName name="FEB">#REF!</definedName>
    <definedName name="fefsf" hidden="1">{"Stand_10y",#N/A,FALSE,"LocCur";"Stand_10y",#N/A,FALSE,"DM"}</definedName>
    <definedName name="ferwr" hidden="1">{"Invest mit Steuern",#N/A,FALSE,"Rg."}</definedName>
    <definedName name="few" hidden="1">{"Invest mit Steuern",#N/A,FALSE,"Rg."}</definedName>
    <definedName name="fewew" hidden="1">{"Invest ohne Steuern",#N/A,FALSE,"Rg."}</definedName>
    <definedName name="fewfwa" hidden="1">{"GuV_10y",#N/A,FALSE,"LocCur";"Stand_10y",#N/A,FALSE,"DM"}</definedName>
    <definedName name="ffwsew" hidden="1">{"Standard",#N/A,FALSE,"BackUp"}</definedName>
    <definedName name="fgfgdd" hidden="1">{"Stand_10y",#N/A,FALSE,"LocCur";"Stand_10y",#N/A,FALSE,"DM"}</definedName>
    <definedName name="fgfhtf" hidden="1">{"Invest mit Steuern",#N/A,FALSE,"Rg."}</definedName>
    <definedName name="fgfrwe" hidden="1">{"Invest mit Steuern",#N/A,FALSE,"Rg."}</definedName>
    <definedName name="fgwer" hidden="1">{"Invest mit Steuern",#N/A,FALSE,"Rg."}</definedName>
    <definedName name="fhdhfs" hidden="1">#N/A</definedName>
    <definedName name="fhfh" hidden="1">{"GuV_10y",#N/A,FALSE,"LocCur";"Stand_10y",#N/A,FALSE,"DM"}</definedName>
    <definedName name="fhgjgkg" hidden="1">{"GuV_10y",#N/A,FALSE,"LocCur";"Stand_10y",#N/A,FALSE,"DM"}</definedName>
    <definedName name="fhrte" hidden="1">{"Invest ohne Steuern",#N/A,FALSE,"Rg."}</definedName>
    <definedName name="ficken" hidden="1">{"GuV_10y",#N/A,FALSE,"LocCur";"Stand_10y",#N/A,FALSE,"DM"}</definedName>
    <definedName name="ficken100" hidden="1">{"Stand_10y",#N/A,FALSE,"LocCur";"Stand_10y",#N/A,FALSE,"DM"}</definedName>
    <definedName name="fjgjgjg" hidden="1">{"Invest mit Steuern",#N/A,FALSE,"Rg."}</definedName>
    <definedName name="fjgkg" hidden="1">{"Invest mit Steuern",#N/A,FALSE,"Rg."}</definedName>
    <definedName name="fk" hidden="1">{"Invest ohne Steuern",#N/A,FALSE,"Rg."}</definedName>
    <definedName name="flw" hidden="1">#N/A</definedName>
    <definedName name="fmnöw" hidden="1">#N/A</definedName>
    <definedName name="föl" hidden="1">#N/A</definedName>
    <definedName name="franz" hidden="1">{"Standard",#N/A,FALSE,"BackUp"}</definedName>
    <definedName name="Fro.Inv." hidden="1">{#N/A,#N/A,FALSE,"Übersicht";#N/A,#N/A,FALSE,"Spritzerei";#N/A,#N/A,FALSE,"Lackierung";#N/A,#N/A,FALSE,"Logistik";#N/A,#N/A,FALSE,"Techn. Planung"}</definedName>
    <definedName name="Frontschäumen" hidden="1">{#N/A,#N/A,FALSE,"Übersicht";#N/A,#N/A,FALSE,"Spritzerei";#N/A,#N/A,FALSE,"Lackierung";#N/A,#N/A,FALSE,"Logistik";#N/A,#N/A,FALSE,"Techn. Planung"}</definedName>
    <definedName name="frw4r" hidden="1">{"GuV_10y",#N/A,FALSE,"LocCur";"Stand_10y",#N/A,FALSE,"DM"}</definedName>
    <definedName name="fsaffa" hidden="1">#N/A</definedName>
    <definedName name="fsc" hidden="1">{"Standard",#N/A,FALSE,"BackUp"}</definedName>
    <definedName name="fsdfews" hidden="1">{"GuV_10y",#N/A,FALSE,"LocCur";"Stand_10y",#N/A,FALSE,"DM"}</definedName>
    <definedName name="fsdfws" hidden="1">{"Invest mit Steuern",#N/A,FALSE,"Rg."}</definedName>
    <definedName name="fsew" hidden="1">{"Stand_10y",#N/A,FALSE,"LocCur";"Stand_10y",#N/A,FALSE,"DM"}</definedName>
    <definedName name="fsfqw4" hidden="1">{"Standard",#N/A,FALSE,"BackUp"}</definedName>
    <definedName name="fsfrwse" hidden="1">#N/A</definedName>
    <definedName name="fsfs" hidden="1">#N/A</definedName>
    <definedName name="fsfsfa" hidden="1">#N/A</definedName>
    <definedName name="fsfsfsrw" hidden="1">#N/A</definedName>
    <definedName name="fsfsw" hidden="1">{"GuV_10y",#N/A,FALSE,"LocCur";"Stand_10y",#N/A,FALSE,"DM"}</definedName>
    <definedName name="fsfswe" hidden="1">{"Standard",#N/A,FALSE,"BackUp"}</definedName>
    <definedName name="fsfw" hidden="1">{"Stand_10y",#N/A,FALSE,"LocCur";"Stand_10y",#N/A,FALSE,"DM"}</definedName>
    <definedName name="fsfwe" hidden="1">{"Invest ohne Steuern",#N/A,FALSE,"Rg."}</definedName>
    <definedName name="fsrfw" hidden="1">{"Invest mit Steuern",#N/A,FALSE,"Rg."}</definedName>
    <definedName name="fsrfwea" hidden="1">{"Invest ohne Steuern",#N/A,FALSE,"Rg."}</definedName>
    <definedName name="fssefwqe" hidden="1">{"Stand_10y",#N/A,FALSE,"LocCur";"Stand_10y",#N/A,FALSE,"DM"}</definedName>
    <definedName name="fswrfws" hidden="1">{"Invest ohne Steuern",#N/A,FALSE,"Rg."}</definedName>
    <definedName name="fwe" hidden="1">{"Stand_10y",#N/A,FALSE,"LocCur";"Stand_10y",#N/A,FALSE,"DM"}</definedName>
    <definedName name="fwfs" hidden="1">#N/A</definedName>
    <definedName name="fwfw" hidden="1">{"Invest mit Steuern",#N/A,FALSE,"Rg."}</definedName>
    <definedName name="fwrew" hidden="1">{"Invest mit Steuern",#N/A,FALSE,"Rg."}</definedName>
    <definedName name="fwrf" hidden="1">{"GuV_10y",#N/A,FALSE,"LocCur";"Stand_10y",#N/A,FALSE,"DM"}</definedName>
    <definedName name="fwrwr" hidden="1">{"Standard",#N/A,FALSE,"BackUp"}</definedName>
    <definedName name="fww" hidden="1">{"Invest ohne Steuern",#N/A,FALSE,"Rg."}</definedName>
    <definedName name="gdertggtg" hidden="1">{"Stand_10y",#N/A,FALSE,"LocCur";"Stand_10y",#N/A,FALSE,"DM"}</definedName>
    <definedName name="gdgete" hidden="1">{"Invest ohne Steuern",#N/A,FALSE,"Rg."}</definedName>
    <definedName name="gdghdfg" hidden="1">{"Invest mit Steuern",#N/A,FALSE,"Rg."}</definedName>
    <definedName name="gdhudu" hidden="1">{"Stand_10y",#N/A,FALSE,"LocCur";"Stand_10y",#N/A,FALSE,"DM"}</definedName>
    <definedName name="gdsfd" hidden="1">#N/A</definedName>
    <definedName name="gdsgf" hidden="1">#N/A</definedName>
    <definedName name="gdss" hidden="1">{"Invest mit Steuern",#N/A,FALSE,"Rg."}</definedName>
    <definedName name="gfdgds" hidden="1">{"Invest ohne Steuern",#N/A,FALSE,"Rg."}</definedName>
    <definedName name="gfdgg" hidden="1">#N/A</definedName>
    <definedName name="ggdsfs" hidden="1">{"Invest mit Steuern",#N/A,FALSE,"Rg."}</definedName>
    <definedName name="ggg" hidden="1">{"Invest ohne Steuern",#N/A,FALSE,"Rg."}</definedName>
    <definedName name="ghg" hidden="1">{"Invest ohne Steuern",#N/A,FALSE,"Rg."}</definedName>
    <definedName name="ghhdhg" hidden="1">#N/A</definedName>
    <definedName name="ghk" hidden="1">{"Invest mit Steuern",#N/A,FALSE,"Rg."}</definedName>
    <definedName name="ghkjgljhl" hidden="1">{"Invest ohne Steuern",#N/A,FALSE,"Rg."}</definedName>
    <definedName name="ghsfgsiuf" hidden="1">{"Standard",#N/A,FALSE,"BackUp"}</definedName>
    <definedName name="gjgjj" hidden="1">{"Invest ohne Steuern",#N/A,FALSE,"Rg."}</definedName>
    <definedName name="gjgjkgj" hidden="1">{"Stand_10y",#N/A,FALSE,"LocCur";"Stand_10y",#N/A,FALSE,"DM"}</definedName>
    <definedName name="gjgkghk" hidden="1">{"Stand_10y",#N/A,FALSE,"LocCur";"Stand_10y",#N/A,FALSE,"DM"}</definedName>
    <definedName name="gkghjfh" hidden="1">{"Standard",#N/A,FALSE,"BackUp"}</definedName>
    <definedName name="gkglg" hidden="1">{"GuV_10y",#N/A,FALSE,"LocCur";"Stand_10y",#N/A,FALSE,"DM"}</definedName>
    <definedName name="gkhk" hidden="1">{"Stand_10y",#N/A,FALSE,"LocCur";"Stand_10y",#N/A,FALSE,"DM"}</definedName>
    <definedName name="gsdf" hidden="1">#N/A</definedName>
    <definedName name="gsdg" hidden="1">{"GuV_10y",#N/A,FALSE,"LocCur";"Stand_10y",#N/A,FALSE,"DM"}</definedName>
    <definedName name="gsdggsg" hidden="1">{"GuV_10y",#N/A,FALSE,"LocCur";"Stand_10y",#N/A,FALSE,"DM"}</definedName>
    <definedName name="gsds" hidden="1">{"Invest ohne Steuern",#N/A,FALSE,"Rg."}</definedName>
    <definedName name="gsfe" hidden="1">{"Stand_10y",#N/A,FALSE,"LocCur";"Stand_10y",#N/A,FALSE,"DM"}</definedName>
    <definedName name="gsfg" hidden="1">{"Invest mit Steuern",#N/A,FALSE,"Rg."}</definedName>
    <definedName name="gsfwe" hidden="1">#N/A</definedName>
    <definedName name="gsgfs" hidden="1">{"Invest mit Steuern",#N/A,FALSE,"Rg."}</definedName>
    <definedName name="gsgs" hidden="1">#N/A</definedName>
    <definedName name="hgfsghg" hidden="1">{"Stand_10y",#N/A,FALSE,"LocCur";"Stand_10y",#N/A,FALSE,"DM"}</definedName>
    <definedName name="hgjgj" hidden="1">{"Standard",#N/A,FALSE,"BackUp"}</definedName>
    <definedName name="hhffhf" hidden="1">{"Stand_10y",#N/A,FALSE,"LocCur";"Stand_10y",#N/A,FALSE,"DM"}</definedName>
    <definedName name="hhp">#REF!</definedName>
    <definedName name="hjsdfdfhh" hidden="1">{"Invest mit Steuern",#N/A,FALSE,"Rg."}</definedName>
    <definedName name="hkmhn" hidden="1">{"Invest ohne Steuern",#N/A,FALSE,"Rg."}</definedName>
    <definedName name="hndjd" hidden="1">#N/A</definedName>
    <definedName name="hnsfkhiok" hidden="1">{"Invest mit Steuern",#N/A,FALSE,"Rg."}</definedName>
    <definedName name="hsdfg" hidden="1">#N/A</definedName>
    <definedName name="hsfooiwe" hidden="1">{"Invest mit Steuern",#N/A,FALSE,"Rg."}</definedName>
    <definedName name="hshfoieh" hidden="1">{"Standard",#N/A,FALSE,"BackUp"}</definedName>
    <definedName name="hsohfiowerio" hidden="1">{"Invest mit Steuern",#N/A,FALSE,"Rg."}</definedName>
    <definedName name="hsojfpo" hidden="1">{"GuV_10y",#N/A,FALSE,"LocCur";"Stand_10y",#N/A,FALSE,"DM"}</definedName>
    <definedName name="IBM_FG_JUNE07">#REF!</definedName>
    <definedName name="IBM_MASTER">#REF!</definedName>
    <definedName name="IBM_SF_JUNE07">#REF!</definedName>
    <definedName name="IndCostTable">#REF!</definedName>
    <definedName name="ja" hidden="1">{"Invest mit Steuern",#N/A,FALSE,"Rg."}</definedName>
    <definedName name="JAN">[0]!DEC:#REF!</definedName>
    <definedName name="jdbj" hidden="1">{"GuV_10y",#N/A,FALSE,"LocCur";"Stand_10y",#N/A,FALSE,"DM"}</definedName>
    <definedName name="jfdolws" hidden="1">{"Standard",#N/A,FALSE,"BackUp"}</definedName>
    <definedName name="jfjepwikfüwe" hidden="1">{"Invest mit Steuern",#N/A,FALSE,"Rg."}</definedName>
    <definedName name="jfpos" hidden="1">{"GuV_10y",#N/A,FALSE,"LocCur";"Stand_10y",#N/A,FALSE,"DM"}</definedName>
    <definedName name="jfsjpo" hidden="1">{"GuV_10y",#N/A,FALSE,"LocCur";"Stand_10y",#N/A,FALSE,"DM"}</definedName>
    <definedName name="jgfpjsdkpo" hidden="1">{"Stand_10y",#N/A,FALSE,"LocCur";"Stand_10y",#N/A,FALSE,"DM"}</definedName>
    <definedName name="jgljdlgj" hidden="1">{"Invest mit Steuern",#N/A,FALSE,"Rg."}</definedName>
    <definedName name="jhf" hidden="1">{"Standard",#N/A,FALSE,"BackUp"}</definedName>
    <definedName name="jiopdgruireo" hidden="1">{"Standard",#N/A,FALSE,"BackUp"}</definedName>
    <definedName name="jjj" hidden="1">{"Invest mit Steuern",#N/A,FALSE,"Rg."}</definedName>
    <definedName name="jkdhjhjfj" hidden="1">{"Invest ohne Steuern",#N/A,FALSE,"Rg."}</definedName>
    <definedName name="jljkl" hidden="1">#N/A</definedName>
    <definedName name="jmfgjfj" hidden="1">{"Standard",#N/A,FALSE,"BackUp"}</definedName>
    <definedName name="jsdljpie" hidden="1">{"Invest ohne Steuern",#N/A,FALSE,"Rg."}</definedName>
    <definedName name="jsffjkp" hidden="1">{"Invest mit Steuern",#N/A,FALSE,"Rg."}</definedName>
    <definedName name="jsfjsp" hidden="1">{"Stand_10y",#N/A,FALSE,"LocCur";"Stand_10y",#N/A,FALSE,"DM"}</definedName>
    <definedName name="jsfowoi" hidden="1">#N/A</definedName>
    <definedName name="jsjkfpgos" hidden="1">{"Stand_10y",#N/A,FALSE,"LocCur";"Stand_10y",#N/A,FALSE,"DM"}</definedName>
    <definedName name="jskjpspew" hidden="1">{"Invest ohne Steuern",#N/A,FALSE,"Rg."}</definedName>
    <definedName name="JUN">#REF!</definedName>
    <definedName name="jwfklw" hidden="1">{"Standard",#N/A,FALSE,"BackUp"}</definedName>
    <definedName name="kdk" hidden="1">{"Invest mit Steuern",#N/A,FALSE,"Rg."}</definedName>
    <definedName name="kfjkjf" hidden="1">{"Invest mit Steuern",#N/A,FALSE,"Rg."}</definedName>
    <definedName name="kfkfk" hidden="1">{"GuV_10y",#N/A,FALSE,"LocCur";"Stand_10y",#N/A,FALSE,"DM"}</definedName>
    <definedName name="kfksfüp" hidden="1">{"Invest mit Steuern",#N/A,FALSE,"Rg."}</definedName>
    <definedName name="kfolfk" hidden="1">#N/A</definedName>
    <definedName name="kfpkifüpw" hidden="1">{"Stand_10y",#N/A,FALSE,"LocCur";"Stand_10y",#N/A,FALSE,"DM"}</definedName>
    <definedName name="kghkhjvfjfj" hidden="1">{"Invest ohne Steuern",#N/A,FALSE,"Rg."}</definedName>
    <definedName name="khjcojfsd" hidden="1">{"Invest mit Steuern",#N/A,FALSE,"Rg."}</definedName>
    <definedName name="khsfjol" hidden="1">{"Invest ohne Steuern",#N/A,FALSE,"Rg."}</definedName>
    <definedName name="kjnfklwj" hidden="1">{"Stand_10y",#N/A,FALSE,"LocCur";"Stand_10y",#N/A,FALSE,"DM"}</definedName>
    <definedName name="kldkkd" hidden="1">{"Stand_10y",#N/A,FALSE,"LocCur";"Stand_10y",#N/A,FALSE,"DM"}</definedName>
    <definedName name="klfkfk" hidden="1">{"GuV_10y",#N/A,FALSE,"LocCur";"Stand_10y",#N/A,FALSE,"DM"}</definedName>
    <definedName name="klgjodsjp" hidden="1">{"Invest mit Steuern",#N/A,FALSE,"Rg."}</definedName>
    <definedName name="klkluj" hidden="1">{"Stand_10y",#N/A,FALSE,"LocCur";"Stand_10y",#N/A,FALSE,"DM"}</definedName>
    <definedName name="klslsl" hidden="1">{"Stand_10y",#N/A,FALSE,"LocCur";"Stand_10y",#N/A,FALSE,"DM"}</definedName>
    <definedName name="klsslls" hidden="1">{"Invest ohne Steuern",#N/A,FALSE,"Rg."}</definedName>
    <definedName name="klwej" hidden="1">{"Invest ohne Steuern",#N/A,FALSE,"Rg."}</definedName>
    <definedName name="ksfhoiow" hidden="1">{"GuV_10y",#N/A,FALSE,"LocCur";"Stand_10y",#N/A,FALSE,"DM"}</definedName>
    <definedName name="ksjljfsjfp" hidden="1">#N/A</definedName>
    <definedName name="ksljfpsk" hidden="1">#N/A</definedName>
    <definedName name="ksnfkw" hidden="1">{"GuV_10y",#N/A,FALSE,"LocCur";"Stand_10y",#N/A,FALSE,"DM"}</definedName>
    <definedName name="kwsfk" hidden="1">{"Invest ohne Steuern",#N/A,FALSE,"Rg."}</definedName>
    <definedName name="ldkdk" hidden="1">{"Invest ohne Steuern",#N/A,FALSE,"Rg."}</definedName>
    <definedName name="Leistung" hidden="1">{#N/A,#N/A,FALSE,"Übersicht";#N/A,#N/A,FALSE,"Spritzerei";#N/A,#N/A,FALSE,"Lackierung";#N/A,#N/A,FALSE,"Logistik";#N/A,#N/A,FALSE,"Techn. Planung"}</definedName>
    <definedName name="Leistungsdaten" hidden="1">{#N/A,#N/A,FALSE,"Übersicht";#N/A,#N/A,FALSE,"Spritzerei";#N/A,#N/A,FALSE,"Lackierung";#N/A,#N/A,FALSE,"Logistik";#N/A,#N/A,FALSE,"Techn. Planung"}</definedName>
    <definedName name="Leistungstatenalt" hidden="1">{#N/A,#N/A,FALSE,"Übersicht";#N/A,#N/A,FALSE,"Spritzerei";#N/A,#N/A,FALSE,"Lackierung";#N/A,#N/A,FALSE,"Logistik";#N/A,#N/A,FALSE,"Techn. Planung"}</definedName>
    <definedName name="lfkofk" hidden="1">{"Invest mit Steuern",#N/A,FALSE,"Rg."}</definedName>
    <definedName name="lgikgik" hidden="1">{"GuV_10y",#N/A,FALSE,"LocCur";"Stand_10y",#N/A,FALSE,"DM"}</definedName>
    <definedName name="List1">#REF!</definedName>
    <definedName name="lkfljwl" hidden="1">#N/A</definedName>
    <definedName name="lkl" hidden="1">{"Invest ohne Steuern",#N/A,FALSE,"Rg."}</definedName>
    <definedName name="lkökö" hidden="1">{"Invest mit Steuern",#N/A,FALSE,"Rg."}</definedName>
    <definedName name="lkolikpl" hidden="1">{"Invest ohne Steuern",#N/A,FALSE,"Rg."}</definedName>
    <definedName name="ll" hidden="1">{"Stand_10y",#N/A,FALSE,"LocCur";"Stand_10y",#N/A,FALSE,"DM"}</definedName>
    <definedName name="lld" hidden="1">{"Invest mit Steuern",#N/A,FALSE,"Rg."}</definedName>
    <definedName name="lll" hidden="1">#N/A</definedName>
    <definedName name="lllll" hidden="1">{"Invest mit Steuern",#N/A,FALSE,"Rg."}</definedName>
    <definedName name="lpöl" hidden="1">{"GuV_10y",#N/A,FALSE,"LocCur";"Stand_10y",#N/A,FALSE,"DM"}</definedName>
    <definedName name="lshfkh" hidden="1">{"Invest mit Steuern",#N/A,FALSE,"Rg."}</definedName>
    <definedName name="lskdflw" hidden="1">{"Stand_10y",#N/A,FALSE,"LocCur";"Stand_10y",#N/A,FALSE,"DM"}</definedName>
    <definedName name="lslls" hidden="1">{"Stand_10y",#N/A,FALSE,"LocCur";"Stand_10y",#N/A,FALSE,"DM"}</definedName>
    <definedName name="lslsdllsd" hidden="1">#N/A</definedName>
    <definedName name="lwe" hidden="1">{"Invest mit Steuern",#N/A,FALSE,"Rg."}</definedName>
    <definedName name="MAR">#REF!</definedName>
    <definedName name="MAY">#REF!</definedName>
    <definedName name="mdkdk" hidden="1">{"Invest mit Steuern",#N/A,FALSE,"Rg."}</definedName>
    <definedName name="mdkmkdl" hidden="1">{"Invest ohne Steuern",#N/A,FALSE,"Rg."}</definedName>
    <definedName name="mdndjn" hidden="1">{"Stand_10y",#N/A,FALSE,"LocCur";"Stand_10y",#N/A,FALSE,"DM"}</definedName>
    <definedName name="mfdk" hidden="1">{"Invest ohne Steuern",#N/A,FALSE,"Rg."}</definedName>
    <definedName name="mfdkfl" hidden="1">{"Invest mit Steuern",#N/A,FALSE,"Rg."}</definedName>
    <definedName name="mfmfm" hidden="1">{"Stand_10y",#N/A,FALSE,"LocCur";"Stand_10y",#N/A,FALSE,"DM"}</definedName>
    <definedName name="nbdbndb" hidden="1">{"Stand_10y",#N/A,FALSE,"LocCur";"Stand_10y",#N/A,FALSE,"DM"}</definedName>
    <definedName name="ncnfhn" hidden="1">{"GuV_10y",#N/A,FALSE,"LocCur";"Stand_10y",#N/A,FALSE,"DM"}</definedName>
    <definedName name="ndbdu" hidden="1">{"Invest ohne Steuern",#N/A,FALSE,"Rg."}</definedName>
    <definedName name="ndkhsfih" hidden="1">{"Stand_10y",#N/A,FALSE,"LocCur";"Stand_10y",#N/A,FALSE,"DM"}</definedName>
    <definedName name="nnn" hidden="1">{"Invest mit Steuern",#N/A,FALSE,"Rg."}</definedName>
    <definedName name="NOV">#REF!</definedName>
    <definedName name="OCT">#REF!</definedName>
    <definedName name="ojfpwiprik" hidden="1">{"Standard",#N/A,FALSE,"BackUp"}</definedName>
    <definedName name="öööö" hidden="1">{"Invest mit Steuern",#N/A,FALSE,"Rg."}</definedName>
    <definedName name="opsosdodo" hidden="1">{"Stand_10y",#N/A,FALSE,"LocCur";"Stand_10y",#N/A,FALSE,"DM"}</definedName>
    <definedName name="osxoose" hidden="1">{"Invest ohne Steuern",#N/A,FALSE,"Rg."}</definedName>
    <definedName name="öü" hidden="1">Main.SAPF4Help()</definedName>
    <definedName name="öüä" hidden="1">Main.SAPF4Help()</definedName>
    <definedName name="öüäö" hidden="1">{"Invest ohne Steuern",#N/A,FALSE,"Rg."}</definedName>
    <definedName name="öüäöü" hidden="1">{"Standard",#N/A,FALSE,"BackUp"}</definedName>
    <definedName name="öüö" hidden="1">{"Invest mit Steuern",#N/A,FALSE,"Rg."}</definedName>
    <definedName name="p" hidden="1">#REF!</definedName>
    <definedName name="PIECHART">#REF!</definedName>
    <definedName name="Print_Area_MI">#REF!</definedName>
    <definedName name="Print_Titles_MI">#REF!</definedName>
    <definedName name="production3">#REF!</definedName>
    <definedName name="PRODUCTION4">#REF!</definedName>
    <definedName name="psppüspü" hidden="1">{"Standard",#N/A,FALSE,"BackUp"}</definedName>
    <definedName name="q" hidden="1">#REF!</definedName>
    <definedName name="qarwq" hidden="1">{"Stand_10y",#N/A,FALSE,"LocCur";"Stand_10y",#N/A,FALSE,"DM"}</definedName>
    <definedName name="qea" hidden="1">{"GuV_10y",#N/A,FALSE,"LocCur";"Stand_10y",#N/A,FALSE,"DM"}</definedName>
    <definedName name="qeaa" hidden="1">{"Invest ohne Steuern",#N/A,FALSE,"Rg."}</definedName>
    <definedName name="qeaad" hidden="1">{"Invest mit Steuern",#N/A,FALSE,"Rg."}</definedName>
    <definedName name="qedada" hidden="1">{"Stand_10y",#N/A,FALSE,"LocCur";"Stand_10y",#N/A,FALSE,"DM"}</definedName>
    <definedName name="qeqe" hidden="1">{"Invest ohne Steuern",#N/A,FALSE,"Rg."}</definedName>
    <definedName name="qqqq" hidden="1">{"Invest ohne Steuern",#N/A,FALSE,"Rg."}</definedName>
    <definedName name="qqqqq" hidden="1">{"Standard",#N/A,FALSE,"BackUp"}</definedName>
    <definedName name="qrqq" hidden="1">{"Invest mit Steuern",#N/A,FALSE,"Rg."}</definedName>
    <definedName name="qrrwqwa" hidden="1">{"Invest ohne Steuern",#N/A,FALSE,"Rg."}</definedName>
    <definedName name="qwqwrq" hidden="1">{"GuV_10y",#N/A,FALSE,"LocCur";"Stand_10y",#N/A,FALSE,"DM"}</definedName>
    <definedName name="qwrer" hidden="1">{"Invest mit Steuern",#N/A,FALSE,"Rg."}</definedName>
    <definedName name="qwrqa" hidden="1">{"Invest mit Steuern",#N/A,FALSE,"Rg."}</definedName>
    <definedName name="qwwwer" hidden="1">{"Stand_10y",#N/A,FALSE,"LocCur";"Stand_10y",#N/A,FALSE,"DM"}</definedName>
    <definedName name="redte" hidden="1">{"Stand_10y",#N/A,FALSE,"LocCur";"Stand_10y",#N/A,FALSE,"DM"}</definedName>
    <definedName name="rgdfzr" hidden="1">{"Invest ohne Steuern",#N/A,FALSE,"Rg."}</definedName>
    <definedName name="rkljwke" hidden="1">{"Invest ohne Steuern",#N/A,FALSE,"Rg."}</definedName>
    <definedName name="rqwq" hidden="1">{"Invest ohne Steuern",#N/A,FALSE,"Rg."}</definedName>
    <definedName name="rqwrwq" hidden="1">Main.SAPF4Help()</definedName>
    <definedName name="rr" hidden="1">{"Invest ohne Steuern",#N/A,FALSE,"Rg."}</definedName>
    <definedName name="rrr" hidden="1">{"Standard",#N/A,FALSE,"BackUp"}</definedName>
    <definedName name="rrrr" hidden="1">{"Stand_10y",#N/A,FALSE,"LocCur";"Stand_10y",#N/A,FALSE,"DM"}</definedName>
    <definedName name="rrrrr" hidden="1">{"GuV_10y",#N/A,FALSE,"LocCur";"Stand_10y",#N/A,FALSE,"DM"}</definedName>
    <definedName name="rrrrrrr" hidden="1">{"Invest mit Steuern",#N/A,FALSE,"Rg."}</definedName>
    <definedName name="rrrterte" hidden="1">Main.SAPF4Help()</definedName>
    <definedName name="rsdfscdasqw" hidden="1">{"Invest ohne Steuern",#N/A,FALSE,"Rg."}</definedName>
    <definedName name="rt" hidden="1">{"Invest ohne Steuern",#N/A,FALSE,"Rg."}</definedName>
    <definedName name="rwfsfs" hidden="1">{"Invest ohne Steuern",#N/A,FALSE,"Rg."}</definedName>
    <definedName name="rwqa" hidden="1">{"Invest ohne Steuern",#N/A,FALSE,"Rg."}</definedName>
    <definedName name="rwqwa" hidden="1">{"GuV_10y",#N/A,FALSE,"LocCur";"Stand_10y",#N/A,FALSE,"DM"}</definedName>
    <definedName name="rwrs" hidden="1">{"Standard",#N/A,FALSE,"BackUp"}</definedName>
    <definedName name="rzkgl" hidden="1">{#N/A,#N/A,FALSE,"Übersicht";#N/A,#N/A,FALSE,"Spritzerei";#N/A,#N/A,FALSE,"Lackierung";#N/A,#N/A,FALSE,"Logistik";#N/A,#N/A,FALSE,"Techn. Planung"}</definedName>
    <definedName name="sadwr" hidden="1">Main.SAPF4Help()</definedName>
    <definedName name="safsafrwq" hidden="1">{"Standard",#N/A,FALSE,"BackUp"}</definedName>
    <definedName name="SAPFuncF4Help" hidden="1">Main.SAPF4Help()</definedName>
    <definedName name="sdfeqw" hidden="1">{"Invest ohne Steuern",#N/A,FALSE,"Rg."}</definedName>
    <definedName name="sdfsdfadasdawaw" hidden="1">{"Invest ohne Steuern",#N/A,FALSE,"Rg."}</definedName>
    <definedName name="sdfsfew" hidden="1">{"Invest mit Steuern",#N/A,FALSE,"Rg."}</definedName>
    <definedName name="sdfsrfrw" hidden="1">{"Invest ohne Steuern",#N/A,FALSE,"Rg."}</definedName>
    <definedName name="sdggdsgg" hidden="1">{"Invest ohne Steuern",#N/A,FALSE,"Rg."}</definedName>
    <definedName name="sdgljsdojg" hidden="1">{"Invest ohne Steuern",#N/A,FALSE,"Rg."}</definedName>
    <definedName name="sdgsdwsrf" hidden="1">{"Stand_10y",#N/A,FALSE,"LocCur";"Stand_10y",#N/A,FALSE,"DM"}</definedName>
    <definedName name="sdhfgdh" hidden="1">{"Stand_10y",#N/A,FALSE,"LocCur";"Stand_10y",#N/A,FALSE,"DM"}</definedName>
    <definedName name="sdsf" hidden="1">{"Invest ohne Steuern",#N/A,FALSE,"Rg."}</definedName>
    <definedName name="sencount" hidden="1">1</definedName>
    <definedName name="SEP">#REF!</definedName>
    <definedName name="sfaqwa" hidden="1">{"Stand_10y",#N/A,FALSE,"LocCur";"Stand_10y",#N/A,FALSE,"DM"}</definedName>
    <definedName name="sfdsd" hidden="1">{"Invest ohne Steuern",#N/A,FALSE,"Rg."}</definedName>
    <definedName name="sfef" hidden="1">Main.SAPF4Help()</definedName>
    <definedName name="sfemkjiogi" hidden="1">{"GuV_10y",#N/A,FALSE,"LocCur";"Stand_10y",#N/A,FALSE,"DM"}</definedName>
    <definedName name="sfesfd" hidden="1">{"Invest mit Steuern",#N/A,FALSE,"Rg."}</definedName>
    <definedName name="sfetg" hidden="1">{"Invest mit Steuern",#N/A,FALSE,"Rg."}</definedName>
    <definedName name="sff" hidden="1">{"Invest mit Steuern",#N/A,FALSE,"Rg."}</definedName>
    <definedName name="sfkl" hidden="1">{"Invest mit Steuern",#N/A,FALSE,"Rg."}</definedName>
    <definedName name="sfosj" hidden="1">{"Invest mit Steuern",#N/A,FALSE,"Rg."}</definedName>
    <definedName name="sfpfp" hidden="1">{"GuV_10y",#N/A,FALSE,"LocCur";"Stand_10y",#N/A,FALSE,"DM"}</definedName>
    <definedName name="sfsasar" hidden="1">{"Standard",#N/A,FALSE,"BackUp"}</definedName>
    <definedName name="sfsf" hidden="1">Main.SAPF4Help()</definedName>
    <definedName name="sfsrtf3ert" hidden="1">{"Invest mit Steuern",#N/A,FALSE,"Rg."}</definedName>
    <definedName name="sfss" hidden="1">{"Invest ohne Steuern",#N/A,FALSE,"Rg."}</definedName>
    <definedName name="sfsyxcdw" hidden="1">{"GuV_10y",#N/A,FALSE,"LocCur";"Stand_10y",#N/A,FALSE,"DM"}</definedName>
    <definedName name="sgdgdgde" hidden="1">{"Invest mit Steuern",#N/A,FALSE,"Rg."}</definedName>
    <definedName name="sgfggsd" hidden="1">{"Invest ohne Steuern",#N/A,FALSE,"Rg."}</definedName>
    <definedName name="sgs" hidden="1">{"Standard",#N/A,FALSE,"BackUp"}</definedName>
    <definedName name="sgsdsg" hidden="1">{"Invest ohne Steuern",#N/A,FALSE,"Rg."}</definedName>
    <definedName name="shrts" hidden="1">Main.SAPF4Help()</definedName>
    <definedName name="sjflsjk" hidden="1">{"Standard",#N/A,FALSE,"BackUp"}</definedName>
    <definedName name="sklfj" hidden="1">{"Invest ohne Steuern",#N/A,FALSE,"Rg."}</definedName>
    <definedName name="sks" hidden="1">{"Invest ohne Steuern",#N/A,FALSE,"Rg."}</definedName>
    <definedName name="sls" hidden="1">{"Invest mit Steuern",#N/A,FALSE,"Rg."}</definedName>
    <definedName name="smflkj" hidden="1">{"Invest mit Steuern",#N/A,FALSE,"Rg."}</definedName>
    <definedName name="soufoi" hidden="1">{"Stand_10y",#N/A,FALSE,"LocCur";"Stand_10y",#N/A,FALSE,"DM"}</definedName>
    <definedName name="SP">22</definedName>
    <definedName name="SP_UP_M1">#REF!</definedName>
    <definedName name="srfsar" hidden="1">{"Stand_10y",#N/A,FALSE,"LocCur";"Stand_10y",#N/A,FALSE,"DM"}</definedName>
    <definedName name="ssfscffwe" hidden="1">{"Invest mit Steuern",#N/A,FALSE,"Rg."}</definedName>
    <definedName name="SUMMARY">#REF!</definedName>
    <definedName name="svsrr" hidden="1">{"Invest ohne Steuern",#N/A,FALSE,"Rg."}</definedName>
    <definedName name="sww" hidden="1">Main.SAPF4Help()</definedName>
    <definedName name="swwww" hidden="1">Main.SAPF4Help()</definedName>
    <definedName name="t" hidden="1">{"Invest mit Steuern",#N/A,FALSE,"Rg."}</definedName>
    <definedName name="tdegd" hidden="1">Main.SAPF4Help()</definedName>
    <definedName name="tdsddt" hidden="1">{"Invest ohne Steuern",#N/A,FALSE,"Rg."}</definedName>
    <definedName name="tdtet" hidden="1">Main.SAPF4Help()</definedName>
    <definedName name="te5e" hidden="1">Main.SAPF4Help()</definedName>
    <definedName name="teefs" hidden="1">{"GuV_10y",#N/A,FALSE,"LocCur";"Stand_10y",#N/A,FALSE,"DM"}</definedName>
    <definedName name="test" hidden="1">{"Invest mit Steuern",#N/A,FALSE,"Rg."}</definedName>
    <definedName name="test1" hidden="1">{"Invest ohne Steuern",#N/A,FALSE,"Rg."}</definedName>
    <definedName name="tete" hidden="1">Main.SAPF4Help()</definedName>
    <definedName name="ü" hidden="1">#REF!</definedName>
    <definedName name="uiui" hidden="1">{"Invest mit Steuern",#N/A,FALSE,"Rg."}</definedName>
    <definedName name="up" hidden="1">{"Invest ohne Steuern",#N/A,FALSE,"Rg."}</definedName>
    <definedName name="üü" hidden="1">{"Stand_10y",#N/A,FALSE,"LocCur";"Stand_10y",#N/A,FALSE,"DM"}</definedName>
    <definedName name="üüü" hidden="1">{"GuV_10y",#N/A,FALSE,"LocCur";"Stand_10y",#N/A,FALSE,"DM"}</definedName>
    <definedName name="üüüü" hidden="1">{"Invest mit Steuern",#N/A,FALSE,"Rg."}</definedName>
    <definedName name="üüüüü" hidden="1">{"Standard",#N/A,FALSE,"BackUp"}</definedName>
    <definedName name="üwkfüwüwf" hidden="1">{"Invest ohne Steuern",#N/A,FALSE,"Rg."}</definedName>
    <definedName name="vvv" hidden="1">{"Stand_10y",#N/A,FALSE,"LocCur";"Stand_10y",#N/A,FALSE,"DM"}</definedName>
    <definedName name="vvvvv" hidden="1">Main.SAPF4Help()</definedName>
    <definedName name="vvvvvvv" hidden="1">{"GuV_10y",#N/A,FALSE,"LocCur";"Stand_10y",#N/A,FALSE,"DM"}</definedName>
    <definedName name="w" hidden="1">{#N/A,#N/A,FALSE,"Übersicht";#N/A,#N/A,FALSE,"Spritzerei";#N/A,#N/A,FALSE,"Lackierung";#N/A,#N/A,FALSE,"Logistik";#N/A,#N/A,FALSE,"Techn. Planung"}</definedName>
    <definedName name="wcs" hidden="1">Main.SAPF4Help()</definedName>
    <definedName name="wdsaasd" hidden="1">Main.SAPF4Help()</definedName>
    <definedName name="wegg" hidden="1">{"Invest ohne Steuern",#N/A,FALSE,"Rg."}</definedName>
    <definedName name="Weight">#REF!,#REF!</definedName>
    <definedName name="werwe" hidden="1">{"Stand_10y",#N/A,FALSE,"LocCur";"Stand_10y",#N/A,FALSE,"DM"}</definedName>
    <definedName name="werwew" hidden="1">{"Standard",#N/A,FALSE,"BackUp"}</definedName>
    <definedName name="werwr" hidden="1">{"Standard",#N/A,FALSE,"BackUp"}</definedName>
    <definedName name="wfs" hidden="1">{"Invest ohne Steuern",#N/A,FALSE,"Rg."}</definedName>
    <definedName name="wfsefsesaae" hidden="1">{"GuV_10y",#N/A,FALSE,"LocCur";"Stand_10y",#N/A,FALSE,"DM"}</definedName>
    <definedName name="wfwsefsedf" hidden="1">{"Invest mit Steuern",#N/A,FALSE,"Rg."}</definedName>
    <definedName name="wp">#REF!</definedName>
    <definedName name="wqa" hidden="1">Main.SAPF4Help()</definedName>
    <definedName name="wrfsfs" hidden="1">{"Invest ohne Steuern",#N/A,FALSE,"Rg."}</definedName>
    <definedName name="wrfsftett" hidden="1">{"Invest mit Steuern",#N/A,FALSE,"Rg."}</definedName>
    <definedName name="wrn.BackUp." hidden="1">{"Standard",#N/A,FALSE,"BackUp"}</definedName>
    <definedName name="wrn.Datei." hidden="1">{#N/A,#N/A,FALSE,"Übersicht";#N/A,#N/A,FALSE,"Spritzerei";#N/A,#N/A,FALSE,"Lackierung";#N/A,#N/A,FALSE,"Logistik";#N/A,#N/A,FALSE,"Techn. Planung"}</definedName>
    <definedName name="wrn.GuV_Bilanz_10y." hidden="1">{"GuV_10y",#N/A,FALSE,"LocCur";"Stand_10y",#N/A,FALSE,"DM"}</definedName>
    <definedName name="wrn.Invest._.mit._.Steuern." hidden="1">{"Invest mit Steuern",#N/A,FALSE,"Rg."}</definedName>
    <definedName name="wrn.Invest._.ohne._.Steuern." hidden="1">{"Invest ohne Steuern",#N/A,FALSE,"Rg."}</definedName>
    <definedName name="wrn.Standard_10y." hidden="1">{"Stand_10y",#N/A,FALSE,"LocCur";"Stand_10y",#N/A,FALSE,"DM"}</definedName>
    <definedName name="wrsfwer3" hidden="1">{"Standard",#N/A,FALSE,"BackUp"}</definedName>
    <definedName name="wrtwtr" hidden="1">{"Standard",#N/A,FALSE,"BackUp"}</definedName>
    <definedName name="wrw" hidden="1">{"Invest mit Steuern",#N/A,FALSE,"Rg."}</definedName>
    <definedName name="wrweffses" hidden="1">{"Standard",#N/A,FALSE,"BackUp"}</definedName>
    <definedName name="wrwer" hidden="1">{"Invest ohne Steuern",#N/A,FALSE,"Rg."}</definedName>
    <definedName name="wrwerf" hidden="1">{"Invest ohne Steuern",#N/A,FALSE,"Rg."}</definedName>
    <definedName name="wrwrff" hidden="1">{"GuV_10y",#N/A,FALSE,"LocCur";"Stand_10y",#N/A,FALSE,"DM"}</definedName>
    <definedName name="wrwrsf" hidden="1">{"Invest ohne Steuern",#N/A,FALSE,"Rg."}</definedName>
    <definedName name="ws" hidden="1">{"GuV_10y",#N/A,FALSE,"LocCur";"Stand_10y",#N/A,FALSE,"DM"}</definedName>
    <definedName name="wsrfw" hidden="1">{"Stand_10y",#N/A,FALSE,"LocCur";"Stand_10y",#N/A,FALSE,"DM"}</definedName>
    <definedName name="wsssfdsse" hidden="1">{"Invest mit Steuern",#N/A,FALSE,"Rg."}</definedName>
    <definedName name="wsvs" hidden="1">{"Invest mit Steuern",#N/A,FALSE,"Rg."}</definedName>
    <definedName name="ww" hidden="1">Main.SAPF4Help()</definedName>
    <definedName name="wwqqa" hidden="1">{"Standard",#N/A,FALSE,"BackUp"}</definedName>
    <definedName name="www" hidden="1">Main.SAPF4Help()</definedName>
    <definedName name="wwww" hidden="1">Main.SAPF4Help()</definedName>
    <definedName name="xx" hidden="1">{#N/A,#N/A,FALSE,"Übersicht";#N/A,#N/A,FALSE,"Spritzerei";#N/A,#N/A,FALSE,"Lackierung";#N/A,#N/A,FALSE,"Logistik";#N/A,#N/A,FALSE,"Techn. Planung"}</definedName>
    <definedName name="zzz" hidden="1">{"GuV_10y",#N/A,FALSE,"LocCur";"Stand_10y",#N/A,FALSE,"DM"}</definedName>
    <definedName name="zzzz" hidden="1">Main.SAPF4Help()</definedName>
    <definedName name="zzzzz" hidden="1">{"Invest mit Steuern",#N/A,FALSE,"Rg."}</definedName>
    <definedName name="zzzzzz" hidden="1">{"Invest mit Steuern",#N/A,FALSE,"Rg."}</definedName>
    <definedName name="zzzzzzz" hidden="1">{"Invest ohne Steuern",#N/A,FALSE,"Rg."}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3" i="1" l="1"/>
  <c r="D62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3" i="1"/>
  <c r="N22" i="1"/>
  <c r="N21" i="1"/>
  <c r="N20" i="1"/>
  <c r="N19" i="1"/>
  <c r="N18" i="1"/>
  <c r="N17" i="1"/>
  <c r="O17" i="1" s="1"/>
  <c r="N16" i="1"/>
  <c r="O16" i="1" s="1"/>
  <c r="N15" i="1"/>
  <c r="O15" i="1" s="1"/>
  <c r="N14" i="1"/>
  <c r="N13" i="1"/>
  <c r="N12" i="1"/>
  <c r="N11" i="1"/>
  <c r="N10" i="1"/>
  <c r="N9" i="1"/>
  <c r="N8" i="1"/>
  <c r="N7" i="1"/>
  <c r="N6" i="1"/>
  <c r="O6" i="1" s="1"/>
  <c r="AK37" i="1"/>
  <c r="AH37" i="1"/>
  <c r="AE37" i="1"/>
  <c r="AA37" i="1"/>
  <c r="AB37" i="1" s="1"/>
  <c r="X37" i="1"/>
  <c r="Y37" i="1" s="1"/>
  <c r="U37" i="1"/>
  <c r="V37" i="1" s="1"/>
  <c r="Q37" i="1"/>
  <c r="R37" i="1" s="1"/>
  <c r="S37" i="1" s="1"/>
  <c r="O37" i="1"/>
  <c r="J37" i="1"/>
  <c r="I37" i="1"/>
  <c r="H37" i="1"/>
  <c r="G37" i="1"/>
  <c r="K37" i="1" s="1"/>
  <c r="AK36" i="1"/>
  <c r="AH36" i="1"/>
  <c r="AE36" i="1"/>
  <c r="AA36" i="1"/>
  <c r="X36" i="1"/>
  <c r="U36" i="1"/>
  <c r="Q36" i="1"/>
  <c r="R36" i="1" s="1"/>
  <c r="O36" i="1"/>
  <c r="L36" i="1"/>
  <c r="J36" i="1"/>
  <c r="I36" i="1"/>
  <c r="H36" i="1"/>
  <c r="G36" i="1"/>
  <c r="K36" i="1" s="1"/>
  <c r="AK35" i="1"/>
  <c r="AH35" i="1"/>
  <c r="AE35" i="1"/>
  <c r="AA35" i="1"/>
  <c r="X35" i="1"/>
  <c r="U35" i="1"/>
  <c r="Q35" i="1"/>
  <c r="R35" i="1" s="1"/>
  <c r="O35" i="1"/>
  <c r="L35" i="1"/>
  <c r="J35" i="1"/>
  <c r="I35" i="1"/>
  <c r="H35" i="1"/>
  <c r="G35" i="1"/>
  <c r="K35" i="1" s="1"/>
  <c r="AK34" i="1"/>
  <c r="AH34" i="1"/>
  <c r="AE34" i="1"/>
  <c r="AA34" i="1"/>
  <c r="X34" i="1"/>
  <c r="U34" i="1"/>
  <c r="Q34" i="1"/>
  <c r="R34" i="1" s="1"/>
  <c r="O34" i="1"/>
  <c r="L34" i="1"/>
  <c r="J34" i="1"/>
  <c r="I34" i="1"/>
  <c r="H34" i="1"/>
  <c r="G34" i="1"/>
  <c r="K34" i="1" s="1"/>
  <c r="AK33" i="1"/>
  <c r="AH33" i="1"/>
  <c r="AE33" i="1"/>
  <c r="AA33" i="1"/>
  <c r="X33" i="1"/>
  <c r="U33" i="1"/>
  <c r="Q33" i="1"/>
  <c r="R33" i="1" s="1"/>
  <c r="O33" i="1"/>
  <c r="L33" i="1"/>
  <c r="J33" i="1"/>
  <c r="I33" i="1"/>
  <c r="H33" i="1"/>
  <c r="G33" i="1"/>
  <c r="K33" i="1" s="1"/>
  <c r="AK32" i="1"/>
  <c r="AH32" i="1"/>
  <c r="AE32" i="1"/>
  <c r="AA32" i="1"/>
  <c r="X32" i="1"/>
  <c r="U32" i="1"/>
  <c r="Q32" i="1"/>
  <c r="R32" i="1" s="1"/>
  <c r="O32" i="1"/>
  <c r="L32" i="1"/>
  <c r="J32" i="1"/>
  <c r="I32" i="1"/>
  <c r="H32" i="1"/>
  <c r="G32" i="1"/>
  <c r="K32" i="1" s="1"/>
  <c r="AK31" i="1"/>
  <c r="AH31" i="1"/>
  <c r="AE31" i="1"/>
  <c r="AA31" i="1"/>
  <c r="X31" i="1"/>
  <c r="U31" i="1"/>
  <c r="Q31" i="1"/>
  <c r="R31" i="1" s="1"/>
  <c r="O31" i="1"/>
  <c r="L31" i="1"/>
  <c r="J31" i="1"/>
  <c r="I31" i="1"/>
  <c r="H31" i="1"/>
  <c r="G31" i="1"/>
  <c r="K31" i="1" s="1"/>
  <c r="AK30" i="1"/>
  <c r="AH30" i="1"/>
  <c r="AE30" i="1"/>
  <c r="AA30" i="1"/>
  <c r="X30" i="1"/>
  <c r="U30" i="1"/>
  <c r="Q30" i="1"/>
  <c r="R30" i="1" s="1"/>
  <c r="O30" i="1"/>
  <c r="L30" i="1"/>
  <c r="J30" i="1"/>
  <c r="I30" i="1"/>
  <c r="H30" i="1"/>
  <c r="G30" i="1"/>
  <c r="K30" i="1" s="1"/>
  <c r="AK29" i="1"/>
  <c r="AH29" i="1"/>
  <c r="AE29" i="1"/>
  <c r="AA29" i="1"/>
  <c r="X29" i="1"/>
  <c r="U29" i="1"/>
  <c r="Q29" i="1"/>
  <c r="R29" i="1" s="1"/>
  <c r="O29" i="1"/>
  <c r="L29" i="1"/>
  <c r="J29" i="1"/>
  <c r="I29" i="1"/>
  <c r="H29" i="1"/>
  <c r="G29" i="1"/>
  <c r="K29" i="1" s="1"/>
  <c r="AK28" i="1"/>
  <c r="AH28" i="1"/>
  <c r="AE28" i="1"/>
  <c r="AA28" i="1"/>
  <c r="X28" i="1"/>
  <c r="U28" i="1"/>
  <c r="Q28" i="1"/>
  <c r="R28" i="1" s="1"/>
  <c r="O28" i="1"/>
  <c r="L28" i="1"/>
  <c r="J28" i="1"/>
  <c r="I28" i="1"/>
  <c r="H28" i="1"/>
  <c r="G28" i="1"/>
  <c r="K28" i="1" s="1"/>
  <c r="AK27" i="1"/>
  <c r="AH27" i="1"/>
  <c r="AE27" i="1"/>
  <c r="AA27" i="1"/>
  <c r="AB27" i="1" s="1"/>
  <c r="X27" i="1"/>
  <c r="Y27" i="1" s="1"/>
  <c r="U27" i="1"/>
  <c r="V27" i="1" s="1"/>
  <c r="Q27" i="1"/>
  <c r="R27" i="1" s="1"/>
  <c r="S27" i="1" s="1"/>
  <c r="O27" i="1"/>
  <c r="J27" i="1"/>
  <c r="I27" i="1"/>
  <c r="H27" i="1"/>
  <c r="G27" i="1"/>
  <c r="K27" i="1" s="1"/>
  <c r="AK26" i="1"/>
  <c r="AH26" i="1"/>
  <c r="AE26" i="1"/>
  <c r="AA26" i="1"/>
  <c r="AB26" i="1" s="1"/>
  <c r="X26" i="1"/>
  <c r="Y26" i="1" s="1"/>
  <c r="U26" i="1"/>
  <c r="V26" i="1" s="1"/>
  <c r="Q26" i="1"/>
  <c r="R26" i="1" s="1"/>
  <c r="S26" i="1" s="1"/>
  <c r="O26" i="1"/>
  <c r="J26" i="1"/>
  <c r="I26" i="1"/>
  <c r="H26" i="1"/>
  <c r="G26" i="1"/>
  <c r="K26" i="1" s="1"/>
  <c r="AK25" i="1"/>
  <c r="AH25" i="1"/>
  <c r="AE25" i="1"/>
  <c r="AA25" i="1"/>
  <c r="X25" i="1"/>
  <c r="U25" i="1"/>
  <c r="Q25" i="1"/>
  <c r="R25" i="1" s="1"/>
  <c r="O25" i="1"/>
  <c r="L25" i="1"/>
  <c r="J25" i="1"/>
  <c r="I25" i="1"/>
  <c r="H25" i="1"/>
  <c r="G25" i="1"/>
  <c r="K25" i="1" s="1"/>
  <c r="AK23" i="1"/>
  <c r="AH23" i="1"/>
  <c r="AE23" i="1"/>
  <c r="AA23" i="1"/>
  <c r="AB23" i="1" s="1"/>
  <c r="X23" i="1"/>
  <c r="Y23" i="1" s="1"/>
  <c r="U23" i="1"/>
  <c r="V23" i="1" s="1"/>
  <c r="Q23" i="1"/>
  <c r="R23" i="1" s="1"/>
  <c r="S23" i="1" s="1"/>
  <c r="O23" i="1"/>
  <c r="J23" i="1"/>
  <c r="I23" i="1"/>
  <c r="H23" i="1"/>
  <c r="G23" i="1"/>
  <c r="K23" i="1" s="1"/>
  <c r="AK22" i="1"/>
  <c r="AH22" i="1"/>
  <c r="AE22" i="1"/>
  <c r="AA22" i="1"/>
  <c r="AB22" i="1" s="1"/>
  <c r="X22" i="1"/>
  <c r="Y22" i="1" s="1"/>
  <c r="U22" i="1"/>
  <c r="V22" i="1" s="1"/>
  <c r="Q22" i="1"/>
  <c r="R22" i="1" s="1"/>
  <c r="S22" i="1" s="1"/>
  <c r="O22" i="1"/>
  <c r="J22" i="1"/>
  <c r="I22" i="1"/>
  <c r="H22" i="1"/>
  <c r="G22" i="1"/>
  <c r="K22" i="1" s="1"/>
  <c r="AK21" i="1"/>
  <c r="AH21" i="1"/>
  <c r="AE21" i="1"/>
  <c r="AA21" i="1"/>
  <c r="AB21" i="1" s="1"/>
  <c r="X21" i="1"/>
  <c r="Y21" i="1" s="1"/>
  <c r="U21" i="1"/>
  <c r="V21" i="1" s="1"/>
  <c r="Q21" i="1"/>
  <c r="R21" i="1" s="1"/>
  <c r="S21" i="1" s="1"/>
  <c r="O21" i="1"/>
  <c r="J21" i="1"/>
  <c r="I21" i="1"/>
  <c r="H21" i="1"/>
  <c r="G21" i="1"/>
  <c r="K21" i="1" s="1"/>
  <c r="AK20" i="1"/>
  <c r="AH20" i="1"/>
  <c r="AE20" i="1"/>
  <c r="AA20" i="1"/>
  <c r="AB20" i="1" s="1"/>
  <c r="X20" i="1"/>
  <c r="Y20" i="1" s="1"/>
  <c r="U20" i="1"/>
  <c r="V20" i="1" s="1"/>
  <c r="Q20" i="1"/>
  <c r="R20" i="1" s="1"/>
  <c r="S20" i="1" s="1"/>
  <c r="O20" i="1"/>
  <c r="J20" i="1"/>
  <c r="I20" i="1"/>
  <c r="H20" i="1"/>
  <c r="G20" i="1"/>
  <c r="K20" i="1" s="1"/>
  <c r="AK19" i="1"/>
  <c r="AH19" i="1"/>
  <c r="AE19" i="1"/>
  <c r="AA19" i="1"/>
  <c r="AB19" i="1" s="1"/>
  <c r="X19" i="1"/>
  <c r="Y19" i="1" s="1"/>
  <c r="U19" i="1"/>
  <c r="V19" i="1" s="1"/>
  <c r="Q19" i="1"/>
  <c r="R19" i="1" s="1"/>
  <c r="S19" i="1" s="1"/>
  <c r="O19" i="1"/>
  <c r="J19" i="1"/>
  <c r="I19" i="1"/>
  <c r="H19" i="1"/>
  <c r="G19" i="1"/>
  <c r="K19" i="1" s="1"/>
  <c r="AK18" i="1"/>
  <c r="AH18" i="1"/>
  <c r="AE18" i="1"/>
  <c r="AA18" i="1"/>
  <c r="AB18" i="1" s="1"/>
  <c r="X18" i="1"/>
  <c r="Y18" i="1" s="1"/>
  <c r="U18" i="1"/>
  <c r="V18" i="1" s="1"/>
  <c r="Q18" i="1"/>
  <c r="R18" i="1" s="1"/>
  <c r="S18" i="1" s="1"/>
  <c r="O18" i="1"/>
  <c r="J18" i="1"/>
  <c r="I18" i="1"/>
  <c r="H18" i="1"/>
  <c r="G18" i="1"/>
  <c r="K18" i="1" s="1"/>
  <c r="AK17" i="1"/>
  <c r="AH17" i="1"/>
  <c r="AE17" i="1"/>
  <c r="AA17" i="1"/>
  <c r="AB17" i="1" s="1"/>
  <c r="X17" i="1"/>
  <c r="Y17" i="1" s="1"/>
  <c r="U17" i="1"/>
  <c r="V17" i="1" s="1"/>
  <c r="Q17" i="1"/>
  <c r="R17" i="1" s="1"/>
  <c r="S17" i="1" s="1"/>
  <c r="J17" i="1"/>
  <c r="I17" i="1"/>
  <c r="H17" i="1"/>
  <c r="G17" i="1"/>
  <c r="K17" i="1" s="1"/>
  <c r="AK16" i="1"/>
  <c r="AH16" i="1"/>
  <c r="AE16" i="1"/>
  <c r="AA16" i="1"/>
  <c r="AB16" i="1" s="1"/>
  <c r="X16" i="1"/>
  <c r="Y16" i="1" s="1"/>
  <c r="U16" i="1"/>
  <c r="V16" i="1" s="1"/>
  <c r="Q16" i="1"/>
  <c r="R16" i="1" s="1"/>
  <c r="S16" i="1" s="1"/>
  <c r="J16" i="1"/>
  <c r="I16" i="1"/>
  <c r="H16" i="1"/>
  <c r="G16" i="1"/>
  <c r="K16" i="1" s="1"/>
  <c r="AK15" i="1"/>
  <c r="AH15" i="1"/>
  <c r="AE15" i="1"/>
  <c r="AA15" i="1"/>
  <c r="AB15" i="1" s="1"/>
  <c r="X15" i="1"/>
  <c r="Y15" i="1" s="1"/>
  <c r="U15" i="1"/>
  <c r="V15" i="1" s="1"/>
  <c r="Q15" i="1"/>
  <c r="R15" i="1" s="1"/>
  <c r="S15" i="1" s="1"/>
  <c r="J15" i="1"/>
  <c r="I15" i="1"/>
  <c r="H15" i="1"/>
  <c r="G15" i="1"/>
  <c r="K15" i="1" s="1"/>
  <c r="AK14" i="1"/>
  <c r="AH14" i="1"/>
  <c r="AE14" i="1"/>
  <c r="AA14" i="1"/>
  <c r="AB14" i="1" s="1"/>
  <c r="X14" i="1"/>
  <c r="Y14" i="1" s="1"/>
  <c r="U14" i="1"/>
  <c r="V14" i="1" s="1"/>
  <c r="Q14" i="1"/>
  <c r="R14" i="1" s="1"/>
  <c r="S14" i="1" s="1"/>
  <c r="O14" i="1"/>
  <c r="J14" i="1"/>
  <c r="I14" i="1"/>
  <c r="H14" i="1"/>
  <c r="G14" i="1"/>
  <c r="K14" i="1" s="1"/>
  <c r="AK13" i="1"/>
  <c r="AH13" i="1"/>
  <c r="AE13" i="1"/>
  <c r="AA13" i="1"/>
  <c r="AB13" i="1" s="1"/>
  <c r="X13" i="1"/>
  <c r="Y13" i="1" s="1"/>
  <c r="U13" i="1"/>
  <c r="V13" i="1" s="1"/>
  <c r="Q13" i="1"/>
  <c r="R13" i="1" s="1"/>
  <c r="S13" i="1" s="1"/>
  <c r="O13" i="1"/>
  <c r="J13" i="1"/>
  <c r="I13" i="1"/>
  <c r="H13" i="1"/>
  <c r="G13" i="1"/>
  <c r="K13" i="1" s="1"/>
  <c r="AK12" i="1"/>
  <c r="AH12" i="1"/>
  <c r="AE12" i="1"/>
  <c r="AA12" i="1"/>
  <c r="AB12" i="1" s="1"/>
  <c r="X12" i="1"/>
  <c r="Y12" i="1" s="1"/>
  <c r="U12" i="1"/>
  <c r="V12" i="1" s="1"/>
  <c r="Q12" i="1"/>
  <c r="R12" i="1" s="1"/>
  <c r="S12" i="1" s="1"/>
  <c r="O12" i="1"/>
  <c r="J12" i="1"/>
  <c r="I12" i="1"/>
  <c r="H12" i="1"/>
  <c r="G12" i="1"/>
  <c r="K12" i="1" s="1"/>
  <c r="AK11" i="1"/>
  <c r="AH11" i="1"/>
  <c r="AE11" i="1"/>
  <c r="AA11" i="1"/>
  <c r="AB11" i="1" s="1"/>
  <c r="X11" i="1"/>
  <c r="Y11" i="1" s="1"/>
  <c r="U11" i="1"/>
  <c r="V11" i="1" s="1"/>
  <c r="Q11" i="1"/>
  <c r="R11" i="1" s="1"/>
  <c r="S11" i="1" s="1"/>
  <c r="O11" i="1"/>
  <c r="J11" i="1"/>
  <c r="I11" i="1"/>
  <c r="H11" i="1"/>
  <c r="G11" i="1"/>
  <c r="K11" i="1" s="1"/>
  <c r="AK10" i="1"/>
  <c r="AH10" i="1"/>
  <c r="AE10" i="1"/>
  <c r="AA10" i="1"/>
  <c r="AB10" i="1" s="1"/>
  <c r="X10" i="1"/>
  <c r="Y10" i="1" s="1"/>
  <c r="U10" i="1"/>
  <c r="V10" i="1" s="1"/>
  <c r="Q10" i="1"/>
  <c r="R10" i="1" s="1"/>
  <c r="S10" i="1" s="1"/>
  <c r="O10" i="1"/>
  <c r="J10" i="1"/>
  <c r="I10" i="1"/>
  <c r="H10" i="1"/>
  <c r="G10" i="1"/>
  <c r="K10" i="1" s="1"/>
  <c r="AK9" i="1"/>
  <c r="AH9" i="1"/>
  <c r="AE9" i="1"/>
  <c r="AA9" i="1"/>
  <c r="AB9" i="1" s="1"/>
  <c r="X9" i="1"/>
  <c r="Y9" i="1" s="1"/>
  <c r="U9" i="1"/>
  <c r="V9" i="1" s="1"/>
  <c r="Q9" i="1"/>
  <c r="R9" i="1" s="1"/>
  <c r="S9" i="1" s="1"/>
  <c r="O9" i="1"/>
  <c r="J9" i="1"/>
  <c r="I9" i="1"/>
  <c r="H9" i="1"/>
  <c r="G9" i="1"/>
  <c r="K9" i="1" s="1"/>
  <c r="AK8" i="1"/>
  <c r="AH8" i="1"/>
  <c r="AE8" i="1"/>
  <c r="AA8" i="1"/>
  <c r="AB8" i="1" s="1"/>
  <c r="X8" i="1"/>
  <c r="Y8" i="1" s="1"/>
  <c r="U8" i="1"/>
  <c r="V8" i="1" s="1"/>
  <c r="Q8" i="1"/>
  <c r="R8" i="1" s="1"/>
  <c r="S8" i="1" s="1"/>
  <c r="O8" i="1"/>
  <c r="J8" i="1"/>
  <c r="I8" i="1"/>
  <c r="H8" i="1"/>
  <c r="G8" i="1"/>
  <c r="K8" i="1" s="1"/>
  <c r="AK7" i="1"/>
  <c r="AH7" i="1"/>
  <c r="AE7" i="1"/>
  <c r="AA7" i="1"/>
  <c r="AB7" i="1" s="1"/>
  <c r="X7" i="1"/>
  <c r="Y7" i="1" s="1"/>
  <c r="U7" i="1"/>
  <c r="V7" i="1" s="1"/>
  <c r="Q7" i="1"/>
  <c r="R7" i="1" s="1"/>
  <c r="S7" i="1" s="1"/>
  <c r="O7" i="1"/>
  <c r="J7" i="1"/>
  <c r="I7" i="1"/>
  <c r="H7" i="1"/>
  <c r="G7" i="1"/>
  <c r="K7" i="1" s="1"/>
  <c r="AK6" i="1"/>
  <c r="AH6" i="1"/>
  <c r="AE6" i="1"/>
  <c r="AA6" i="1"/>
  <c r="AB6" i="1" s="1"/>
  <c r="X6" i="1"/>
  <c r="Y6" i="1" s="1"/>
  <c r="U6" i="1"/>
  <c r="V6" i="1" s="1"/>
  <c r="Q6" i="1"/>
  <c r="R6" i="1" s="1"/>
  <c r="S6" i="1" s="1"/>
  <c r="J6" i="1"/>
  <c r="I6" i="1"/>
  <c r="H6" i="1"/>
  <c r="G6" i="1"/>
  <c r="K6" i="1" s="1"/>
  <c r="AB36" i="1" l="1"/>
  <c r="AC36" i="1" s="1"/>
  <c r="Y36" i="1"/>
  <c r="Z36" i="1" s="1"/>
  <c r="AB35" i="1"/>
  <c r="AC35" i="1" s="1"/>
  <c r="Y35" i="1"/>
  <c r="Z35" i="1" s="1"/>
  <c r="AB34" i="1"/>
  <c r="AC34" i="1" s="1"/>
  <c r="Y34" i="1"/>
  <c r="Z34" i="1" s="1"/>
  <c r="AB33" i="1"/>
  <c r="AC33" i="1" s="1"/>
  <c r="Y33" i="1"/>
  <c r="Z33" i="1" s="1"/>
  <c r="AB32" i="1"/>
  <c r="AC32" i="1" s="1"/>
  <c r="Y32" i="1"/>
  <c r="Z32" i="1" s="1"/>
  <c r="AB31" i="1"/>
  <c r="AC31" i="1" s="1"/>
  <c r="Y31" i="1"/>
  <c r="Z31" i="1" s="1"/>
  <c r="AB30" i="1"/>
  <c r="AC30" i="1" s="1"/>
  <c r="Y30" i="1"/>
  <c r="Z30" i="1" s="1"/>
  <c r="AB29" i="1"/>
  <c r="AC29" i="1" s="1"/>
  <c r="Y29" i="1"/>
  <c r="Z29" i="1" s="1"/>
  <c r="AB28" i="1"/>
  <c r="AC28" i="1" s="1"/>
  <c r="Y28" i="1"/>
  <c r="Z28" i="1" s="1"/>
  <c r="AB25" i="1"/>
  <c r="AC25" i="1" s="1"/>
  <c r="Y25" i="1"/>
  <c r="Z25" i="1" s="1"/>
  <c r="T15" i="1"/>
  <c r="W14" i="1"/>
  <c r="T14" i="1"/>
  <c r="S36" i="1"/>
  <c r="T36" i="1" s="1"/>
  <c r="V36" i="1"/>
  <c r="W36" i="1" s="1"/>
  <c r="V35" i="1"/>
  <c r="W35" i="1" s="1"/>
  <c r="S35" i="1"/>
  <c r="T35" i="1" s="1"/>
  <c r="V34" i="1"/>
  <c r="W34" i="1" s="1"/>
  <c r="S34" i="1"/>
  <c r="T34" i="1" s="1"/>
  <c r="V33" i="1"/>
  <c r="W33" i="1" s="1"/>
  <c r="S33" i="1"/>
  <c r="T33" i="1" s="1"/>
  <c r="V32" i="1"/>
  <c r="W32" i="1" s="1"/>
  <c r="S32" i="1"/>
  <c r="T32" i="1" s="1"/>
  <c r="V31" i="1"/>
  <c r="W31" i="1" s="1"/>
  <c r="S31" i="1"/>
  <c r="T31" i="1" s="1"/>
  <c r="V30" i="1"/>
  <c r="W30" i="1" s="1"/>
  <c r="S30" i="1"/>
  <c r="T30" i="1" s="1"/>
  <c r="S29" i="1"/>
  <c r="T29" i="1" s="1"/>
  <c r="V29" i="1"/>
  <c r="W29" i="1" s="1"/>
  <c r="V28" i="1"/>
  <c r="W28" i="1" s="1"/>
  <c r="S28" i="1"/>
  <c r="T28" i="1" s="1"/>
  <c r="S25" i="1"/>
  <c r="T25" i="1" s="1"/>
  <c r="V25" i="1"/>
  <c r="W25" i="1" s="1"/>
  <c r="AL37" i="1"/>
  <c r="AI37" i="1"/>
  <c r="AF37" i="1"/>
  <c r="AM37" i="1" s="1"/>
  <c r="AC37" i="1"/>
  <c r="Z37" i="1"/>
  <c r="W37" i="1"/>
  <c r="T37" i="1"/>
  <c r="P37" i="1"/>
  <c r="AL36" i="1"/>
  <c r="AI36" i="1"/>
  <c r="AF36" i="1"/>
  <c r="AM36" i="1" s="1"/>
  <c r="P36" i="1"/>
  <c r="AL35" i="1"/>
  <c r="AI35" i="1"/>
  <c r="AF35" i="1"/>
  <c r="AM35" i="1" s="1"/>
  <c r="P35" i="1"/>
  <c r="AL34" i="1"/>
  <c r="AI34" i="1"/>
  <c r="AF34" i="1"/>
  <c r="AM34" i="1" s="1"/>
  <c r="P34" i="1"/>
  <c r="AL33" i="1"/>
  <c r="AI33" i="1"/>
  <c r="AF33" i="1"/>
  <c r="P33" i="1"/>
  <c r="AL32" i="1"/>
  <c r="AI32" i="1"/>
  <c r="AF32" i="1"/>
  <c r="AM32" i="1" s="1"/>
  <c r="P32" i="1"/>
  <c r="AL31" i="1"/>
  <c r="AI31" i="1"/>
  <c r="AF31" i="1"/>
  <c r="AM31" i="1" s="1"/>
  <c r="P31" i="1"/>
  <c r="AL30" i="1"/>
  <c r="AI30" i="1"/>
  <c r="AF30" i="1"/>
  <c r="AM30" i="1" s="1"/>
  <c r="P30" i="1"/>
  <c r="AL29" i="1"/>
  <c r="AI29" i="1"/>
  <c r="AF29" i="1"/>
  <c r="AM29" i="1" s="1"/>
  <c r="P29" i="1"/>
  <c r="AL28" i="1"/>
  <c r="AI28" i="1"/>
  <c r="AF28" i="1"/>
  <c r="AM28" i="1" s="1"/>
  <c r="P28" i="1"/>
  <c r="AL27" i="1"/>
  <c r="AI27" i="1"/>
  <c r="AF27" i="1"/>
  <c r="AM27" i="1" s="1"/>
  <c r="AC27" i="1"/>
  <c r="Z27" i="1"/>
  <c r="W27" i="1"/>
  <c r="T27" i="1"/>
  <c r="P27" i="1"/>
  <c r="AL26" i="1"/>
  <c r="AI26" i="1"/>
  <c r="AF26" i="1"/>
  <c r="AC26" i="1"/>
  <c r="Z26" i="1"/>
  <c r="W26" i="1"/>
  <c r="T26" i="1"/>
  <c r="P26" i="1"/>
  <c r="AL25" i="1"/>
  <c r="AI25" i="1"/>
  <c r="AF25" i="1"/>
  <c r="AM25" i="1" s="1"/>
  <c r="P25" i="1"/>
  <c r="AL23" i="1"/>
  <c r="AI23" i="1"/>
  <c r="AF23" i="1"/>
  <c r="AM23" i="1" s="1"/>
  <c r="AC23" i="1"/>
  <c r="Z23" i="1"/>
  <c r="W23" i="1"/>
  <c r="T23" i="1"/>
  <c r="P23" i="1"/>
  <c r="AL22" i="1"/>
  <c r="AI22" i="1"/>
  <c r="AF22" i="1"/>
  <c r="AM22" i="1" s="1"/>
  <c r="AC22" i="1"/>
  <c r="Z22" i="1"/>
  <c r="W22" i="1"/>
  <c r="T22" i="1"/>
  <c r="P22" i="1"/>
  <c r="AL21" i="1"/>
  <c r="AI21" i="1"/>
  <c r="AF21" i="1"/>
  <c r="AM21" i="1" s="1"/>
  <c r="AC21" i="1"/>
  <c r="Z21" i="1"/>
  <c r="W21" i="1"/>
  <c r="T21" i="1"/>
  <c r="P21" i="1"/>
  <c r="AL20" i="1"/>
  <c r="AI20" i="1"/>
  <c r="AF20" i="1"/>
  <c r="AM20" i="1" s="1"/>
  <c r="AC20" i="1"/>
  <c r="Z20" i="1"/>
  <c r="W20" i="1"/>
  <c r="T20" i="1"/>
  <c r="P20" i="1"/>
  <c r="AL19" i="1"/>
  <c r="AI19" i="1"/>
  <c r="AF19" i="1"/>
  <c r="AM19" i="1" s="1"/>
  <c r="AC19" i="1"/>
  <c r="Z19" i="1"/>
  <c r="W19" i="1"/>
  <c r="T19" i="1"/>
  <c r="P19" i="1"/>
  <c r="AL18" i="1"/>
  <c r="AI18" i="1"/>
  <c r="AF18" i="1"/>
  <c r="AM18" i="1" s="1"/>
  <c r="AC18" i="1"/>
  <c r="Z18" i="1"/>
  <c r="W18" i="1"/>
  <c r="T18" i="1"/>
  <c r="P18" i="1"/>
  <c r="AL17" i="1"/>
  <c r="AI17" i="1"/>
  <c r="AF17" i="1"/>
  <c r="AM17" i="1" s="1"/>
  <c r="AC17" i="1"/>
  <c r="Z17" i="1"/>
  <c r="W17" i="1"/>
  <c r="T17" i="1"/>
  <c r="P17" i="1"/>
  <c r="AL16" i="1"/>
  <c r="AI16" i="1"/>
  <c r="AF16" i="1"/>
  <c r="AC16" i="1"/>
  <c r="Z16" i="1"/>
  <c r="W16" i="1"/>
  <c r="T16" i="1"/>
  <c r="P16" i="1"/>
  <c r="AL15" i="1"/>
  <c r="AI15" i="1"/>
  <c r="AF15" i="1"/>
  <c r="AM15" i="1" s="1"/>
  <c r="AC15" i="1"/>
  <c r="Z15" i="1"/>
  <c r="P15" i="1"/>
  <c r="AL14" i="1"/>
  <c r="AF14" i="1"/>
  <c r="AC14" i="1"/>
  <c r="P14" i="1"/>
  <c r="AL13" i="1"/>
  <c r="AI13" i="1"/>
  <c r="AF13" i="1"/>
  <c r="AM13" i="1" s="1"/>
  <c r="AC13" i="1"/>
  <c r="Z13" i="1"/>
  <c r="W13" i="1"/>
  <c r="T13" i="1"/>
  <c r="P13" i="1"/>
  <c r="AL12" i="1"/>
  <c r="AI12" i="1"/>
  <c r="AF12" i="1"/>
  <c r="AM12" i="1" s="1"/>
  <c r="AC12" i="1"/>
  <c r="Z12" i="1"/>
  <c r="W12" i="1"/>
  <c r="T12" i="1"/>
  <c r="P12" i="1"/>
  <c r="AL11" i="1"/>
  <c r="AI11" i="1"/>
  <c r="AF11" i="1"/>
  <c r="AM11" i="1" s="1"/>
  <c r="AC11" i="1"/>
  <c r="Z11" i="1"/>
  <c r="W11" i="1"/>
  <c r="T11" i="1"/>
  <c r="P11" i="1"/>
  <c r="AL10" i="1"/>
  <c r="AI10" i="1"/>
  <c r="AF10" i="1"/>
  <c r="AM10" i="1" s="1"/>
  <c r="AC10" i="1"/>
  <c r="Z10" i="1"/>
  <c r="W10" i="1"/>
  <c r="T10" i="1"/>
  <c r="P10" i="1"/>
  <c r="AL9" i="1"/>
  <c r="AI9" i="1"/>
  <c r="AF9" i="1"/>
  <c r="AM9" i="1" s="1"/>
  <c r="AC9" i="1"/>
  <c r="Z9" i="1"/>
  <c r="W9" i="1"/>
  <c r="T9" i="1"/>
  <c r="P9" i="1"/>
  <c r="AL8" i="1"/>
  <c r="AI8" i="1"/>
  <c r="AF8" i="1"/>
  <c r="AM8" i="1" s="1"/>
  <c r="AC8" i="1"/>
  <c r="Z8" i="1"/>
  <c r="W8" i="1"/>
  <c r="T8" i="1"/>
  <c r="P8" i="1"/>
  <c r="AL7" i="1"/>
  <c r="AI7" i="1"/>
  <c r="AF7" i="1"/>
  <c r="AM7" i="1" s="1"/>
  <c r="AC7" i="1"/>
  <c r="Z7" i="1"/>
  <c r="W7" i="1"/>
  <c r="T7" i="1"/>
  <c r="P7" i="1"/>
  <c r="AL6" i="1"/>
  <c r="AI6" i="1"/>
  <c r="AF6" i="1"/>
  <c r="AM6" i="1" s="1"/>
  <c r="AC6" i="1"/>
  <c r="Z6" i="1"/>
  <c r="W6" i="1"/>
  <c r="T6" i="1"/>
  <c r="P6" i="1"/>
  <c r="AI14" i="1"/>
  <c r="W15" i="1"/>
  <c r="Z14" i="1"/>
  <c r="AM33" i="1" l="1"/>
  <c r="F33" i="1" s="1"/>
  <c r="AP33" i="1" s="1"/>
  <c r="AM26" i="1"/>
  <c r="F26" i="1" s="1"/>
  <c r="AP26" i="1" s="1"/>
  <c r="F10" i="1"/>
  <c r="AP10" i="1" s="1"/>
  <c r="F8" i="1"/>
  <c r="AP8" i="1" s="1"/>
  <c r="F7" i="1"/>
  <c r="AP7" i="1" s="1"/>
  <c r="F6" i="1"/>
  <c r="AP6" i="1" s="1"/>
  <c r="F34" i="1"/>
  <c r="AP34" i="1" s="1"/>
  <c r="F22" i="1"/>
  <c r="AP22" i="1" s="1"/>
  <c r="F21" i="1"/>
  <c r="AP21" i="1" s="1"/>
  <c r="F35" i="1"/>
  <c r="AP35" i="1" s="1"/>
  <c r="F23" i="1"/>
  <c r="AP23" i="1" s="1"/>
  <c r="F20" i="1"/>
  <c r="AP20" i="1" s="1"/>
  <c r="F19" i="1"/>
  <c r="AP19" i="1" s="1"/>
  <c r="F18" i="1"/>
  <c r="AP18" i="1" s="1"/>
  <c r="F17" i="1"/>
  <c r="AP17" i="1" s="1"/>
  <c r="AM14" i="1"/>
  <c r="F14" i="1" s="1"/>
  <c r="AP14" i="1" s="1"/>
  <c r="F36" i="1"/>
  <c r="AP36" i="1" s="1"/>
  <c r="F32" i="1"/>
  <c r="AP32" i="1" s="1"/>
  <c r="F31" i="1"/>
  <c r="AP31" i="1" s="1"/>
  <c r="F30" i="1"/>
  <c r="AP30" i="1" s="1"/>
  <c r="F29" i="1"/>
  <c r="AP29" i="1" s="1"/>
  <c r="F28" i="1"/>
  <c r="AP28" i="1" s="1"/>
  <c r="F25" i="1"/>
  <c r="AP25" i="1" s="1"/>
  <c r="F37" i="1"/>
  <c r="AP37" i="1" s="1"/>
  <c r="F27" i="1"/>
  <c r="AP27" i="1" s="1"/>
  <c r="AM16" i="1"/>
  <c r="F16" i="1" s="1"/>
  <c r="AP16" i="1" s="1"/>
  <c r="F13" i="1"/>
  <c r="AP13" i="1" s="1"/>
  <c r="F12" i="1"/>
  <c r="AP12" i="1" s="1"/>
  <c r="F11" i="1"/>
  <c r="AP11" i="1" s="1"/>
  <c r="F9" i="1"/>
  <c r="AP9" i="1" s="1"/>
  <c r="F15" i="1"/>
  <c r="AP15" i="1" s="1"/>
</calcChain>
</file>

<file path=xl/sharedStrings.xml><?xml version="1.0" encoding="utf-8"?>
<sst xmlns="http://schemas.openxmlformats.org/spreadsheetml/2006/main" count="126" uniqueCount="77">
  <si>
    <t>Direct machine hourly rate</t>
  </si>
  <si>
    <t>Setup</t>
  </si>
  <si>
    <t>elect.</t>
  </si>
  <si>
    <t>pressure air</t>
  </si>
  <si>
    <t>cooling water</t>
  </si>
  <si>
    <t>[$/sqm/a]</t>
  </si>
  <si>
    <t>[years]</t>
  </si>
  <si>
    <t>Total hourly rate direct</t>
  </si>
  <si>
    <t>Capacity model</t>
  </si>
  <si>
    <t>Investment</t>
  </si>
  <si>
    <t>Space Costs</t>
  </si>
  <si>
    <t>Depreciation</t>
  </si>
  <si>
    <t>Interest</t>
  </si>
  <si>
    <t>Insurance</t>
  </si>
  <si>
    <t>Maintenance</t>
  </si>
  <si>
    <t>Energy Costs</t>
  </si>
  <si>
    <t>Setup Time:</t>
  </si>
  <si>
    <t>Machine Rate setup</t>
  </si>
  <si>
    <t>Setup Worker:</t>
  </si>
  <si>
    <t>to</t>
  </si>
  <si>
    <t>[$/h]</t>
  </si>
  <si>
    <t>[days/a]</t>
  </si>
  <si>
    <t>[shifts/day]</t>
  </si>
  <si>
    <t>[hours/shift]</t>
  </si>
  <si>
    <t>[OEE]</t>
  </si>
  <si>
    <t>[hours/year]</t>
  </si>
  <si>
    <t>[$/machine]</t>
  </si>
  <si>
    <t>[sqm]</t>
  </si>
  <si>
    <t>[$/year/]</t>
  </si>
  <si>
    <t>[%]</t>
  </si>
  <si>
    <t>[kwh/h]</t>
  </si>
  <si>
    <t>[$/kwh]</t>
  </si>
  <si>
    <t>[m³/h]</t>
  </si>
  <si>
    <t>[$/m³]</t>
  </si>
  <si>
    <t>[min]</t>
  </si>
  <si>
    <t>[workers]</t>
  </si>
  <si>
    <t>IMM + Viper</t>
  </si>
  <si>
    <t>220 2K</t>
  </si>
  <si>
    <t>450 2K</t>
  </si>
  <si>
    <t>800 2K</t>
  </si>
  <si>
    <t>US welding small</t>
  </si>
  <si>
    <t>USW-S</t>
  </si>
  <si>
    <t>US welding mid</t>
  </si>
  <si>
    <t>USW-M</t>
  </si>
  <si>
    <t>US welding large</t>
  </si>
  <si>
    <t>USW-L</t>
  </si>
  <si>
    <t>press lamination small</t>
  </si>
  <si>
    <t>PL-S</t>
  </si>
  <si>
    <t>press lamination mid</t>
  </si>
  <si>
    <t>PL-M</t>
  </si>
  <si>
    <t>press lamination large</t>
  </si>
  <si>
    <t>PL-L</t>
  </si>
  <si>
    <t>Assembly small</t>
  </si>
  <si>
    <t>ASS-S</t>
  </si>
  <si>
    <t>Assembly mid</t>
  </si>
  <si>
    <t>ASS-M</t>
  </si>
  <si>
    <t>Punching</t>
  </si>
  <si>
    <t>Punch</t>
  </si>
  <si>
    <t>Production Plant:</t>
  </si>
  <si>
    <t>KAEC</t>
  </si>
  <si>
    <t>Labour costs:</t>
  </si>
  <si>
    <t>production operator:</t>
  </si>
  <si>
    <t>[USD/h]</t>
  </si>
  <si>
    <t>setup operator:</t>
  </si>
  <si>
    <t>Overheads:</t>
  </si>
  <si>
    <t>Overhead raw material:</t>
  </si>
  <si>
    <t>Overhead purchase parts:</t>
  </si>
  <si>
    <t>Overhead production:</t>
  </si>
  <si>
    <t>Overhead SG&amp;A:</t>
  </si>
  <si>
    <t>Other surcharges:</t>
  </si>
  <si>
    <t>Profit charge:</t>
  </si>
  <si>
    <t>Handling Charge (OEM parts):</t>
  </si>
  <si>
    <t>Setup settings:</t>
  </si>
  <si>
    <t>production time:</t>
  </si>
  <si>
    <t>[hrs]</t>
  </si>
  <si>
    <t>or volume for:</t>
  </si>
  <si>
    <t>[days]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</si>
</sst>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i/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 tint="0.499984740745262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2" fillId="2" borderId="0" xfId="2" applyFont="1" applyFill="1"/>
    <xf numFmtId="0" fontId="1" fillId="2" borderId="0" xfId="2" applyFill="1"/>
    <xf numFmtId="0" fontId="1" fillId="3" borderId="0" xfId="2" applyFill="1"/>
    <xf numFmtId="4" fontId="1" fillId="2" borderId="0" xfId="2" applyNumberFormat="1" applyFill="1"/>
    <xf numFmtId="0" fontId="1" fillId="2" borderId="0" xfId="2" applyFill="1" applyAlignment="1">
      <alignment horizontal="center"/>
    </xf>
    <xf numFmtId="3" fontId="1" fillId="2" borderId="0" xfId="2" applyNumberFormat="1" applyFill="1"/>
    <xf numFmtId="3" fontId="1" fillId="2" borderId="0" xfId="2" applyNumberFormat="1" applyFill="1" applyAlignment="1">
      <alignment horizontal="center"/>
    </xf>
    <xf numFmtId="4" fontId="2" fillId="2" borderId="0" xfId="2" applyNumberFormat="1" applyFont="1" applyFill="1"/>
    <xf numFmtId="3" fontId="4" fillId="4" borderId="4" xfId="2" applyNumberFormat="1" applyFont="1" applyFill="1" applyBorder="1" applyAlignment="1">
      <alignment horizontal="center"/>
    </xf>
    <xf numFmtId="9" fontId="4" fillId="4" borderId="4" xfId="2" applyNumberFormat="1" applyFont="1" applyFill="1" applyBorder="1" applyAlignment="1">
      <alignment horizontal="center"/>
    </xf>
    <xf numFmtId="3" fontId="4" fillId="4" borderId="5" xfId="2" applyNumberFormat="1" applyFont="1" applyFill="1" applyBorder="1" applyAlignment="1">
      <alignment horizontal="center"/>
    </xf>
    <xf numFmtId="0" fontId="4" fillId="2" borderId="6" xfId="2" applyFont="1" applyFill="1" applyBorder="1"/>
    <xf numFmtId="0" fontId="4" fillId="2" borderId="6" xfId="2" applyFont="1" applyFill="1" applyBorder="1" applyAlignment="1">
      <alignment horizontal="left"/>
    </xf>
    <xf numFmtId="164" fontId="4" fillId="4" borderId="4" xfId="2" applyNumberFormat="1" applyFont="1" applyFill="1" applyBorder="1" applyAlignment="1">
      <alignment horizontal="center"/>
    </xf>
    <xf numFmtId="4" fontId="4" fillId="4" borderId="4" xfId="2" applyNumberFormat="1" applyFont="1" applyFill="1" applyBorder="1" applyAlignment="1">
      <alignment horizontal="center"/>
    </xf>
    <xf numFmtId="0" fontId="1" fillId="2" borderId="0" xfId="2" applyFill="1" applyAlignment="1">
      <alignment wrapText="1"/>
    </xf>
    <xf numFmtId="0" fontId="1" fillId="3" borderId="0" xfId="2" applyFill="1" applyAlignment="1">
      <alignment wrapText="1"/>
    </xf>
    <xf numFmtId="4" fontId="2" fillId="2" borderId="4" xfId="2" applyNumberFormat="1" applyFont="1" applyFill="1" applyBorder="1" applyAlignment="1">
      <alignment horizontal="center" wrapText="1"/>
    </xf>
    <xf numFmtId="0" fontId="2" fillId="2" borderId="4" xfId="2" applyFont="1" applyFill="1" applyBorder="1" applyAlignment="1">
      <alignment horizontal="center" vertical="center" wrapText="1"/>
    </xf>
    <xf numFmtId="3" fontId="2" fillId="2" borderId="4" xfId="2" applyNumberFormat="1" applyFont="1" applyFill="1" applyBorder="1" applyAlignment="1">
      <alignment horizontal="center" vertical="center" wrapText="1"/>
    </xf>
    <xf numFmtId="0" fontId="1" fillId="2" borderId="4" xfId="2" applyFill="1" applyBorder="1" applyAlignment="1">
      <alignment horizontal="center"/>
    </xf>
    <xf numFmtId="4" fontId="5" fillId="5" borderId="4" xfId="2" applyNumberFormat="1" applyFont="1" applyFill="1" applyBorder="1" applyAlignment="1">
      <alignment horizontal="center"/>
    </xf>
    <xf numFmtId="0" fontId="1" fillId="2" borderId="4" xfId="2" applyFill="1" applyBorder="1"/>
    <xf numFmtId="0" fontId="6" fillId="5" borderId="4" xfId="2" applyFont="1" applyFill="1" applyBorder="1" applyAlignment="1">
      <alignment horizontal="center"/>
    </xf>
    <xf numFmtId="3" fontId="6" fillId="5" borderId="4" xfId="2" applyNumberFormat="1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3" fontId="7" fillId="2" borderId="7" xfId="2" applyNumberFormat="1" applyFont="1" applyFill="1" applyBorder="1" applyAlignment="1">
      <alignment horizontal="center"/>
    </xf>
    <xf numFmtId="4" fontId="5" fillId="5" borderId="8" xfId="2" applyNumberFormat="1" applyFont="1" applyFill="1" applyBorder="1" applyAlignment="1">
      <alignment horizontal="center"/>
    </xf>
    <xf numFmtId="3" fontId="1" fillId="2" borderId="7" xfId="2" applyNumberFormat="1" applyFill="1" applyBorder="1" applyAlignment="1">
      <alignment horizontal="center"/>
    </xf>
    <xf numFmtId="0" fontId="7" fillId="2" borderId="7" xfId="2" applyFont="1" applyFill="1" applyBorder="1" applyAlignment="1">
      <alignment horizontal="center"/>
    </xf>
    <xf numFmtId="0" fontId="1" fillId="2" borderId="5" xfId="2" applyFill="1" applyBorder="1" applyAlignment="1">
      <alignment horizontal="center"/>
    </xf>
    <xf numFmtId="4" fontId="2" fillId="2" borderId="5" xfId="2" applyNumberFormat="1" applyFont="1" applyFill="1" applyBorder="1" applyAlignment="1">
      <alignment horizontal="center"/>
    </xf>
    <xf numFmtId="0" fontId="7" fillId="2" borderId="5" xfId="2" applyFont="1" applyFill="1" applyBorder="1" applyAlignment="1">
      <alignment horizontal="center"/>
    </xf>
    <xf numFmtId="9" fontId="7" fillId="2" borderId="5" xfId="2" applyNumberFormat="1" applyFont="1" applyFill="1" applyBorder="1" applyAlignment="1">
      <alignment horizontal="center"/>
    </xf>
    <xf numFmtId="3" fontId="1" fillId="2" borderId="5" xfId="2" applyNumberFormat="1" applyFill="1" applyBorder="1" applyAlignment="1">
      <alignment horizontal="center"/>
    </xf>
    <xf numFmtId="3" fontId="1" fillId="4" borderId="4" xfId="2" applyNumberFormat="1" applyFill="1" applyBorder="1" applyAlignment="1">
      <alignment horizontal="right"/>
    </xf>
    <xf numFmtId="0" fontId="7" fillId="2" borderId="4" xfId="2" applyFont="1" applyFill="1" applyBorder="1" applyAlignment="1">
      <alignment horizontal="center"/>
    </xf>
    <xf numFmtId="2" fontId="7" fillId="2" borderId="4" xfId="2" applyNumberFormat="1" applyFont="1" applyFill="1" applyBorder="1" applyAlignment="1">
      <alignment horizontal="center"/>
    </xf>
    <xf numFmtId="3" fontId="7" fillId="2" borderId="4" xfId="2" applyNumberFormat="1" applyFont="1" applyFill="1" applyBorder="1" applyAlignment="1">
      <alignment horizontal="right"/>
    </xf>
    <xf numFmtId="4" fontId="2" fillId="2" borderId="4" xfId="2" applyNumberFormat="1" applyFont="1" applyFill="1" applyBorder="1" applyAlignment="1">
      <alignment horizontal="center"/>
    </xf>
    <xf numFmtId="3" fontId="7" fillId="2" borderId="4" xfId="2" applyNumberFormat="1" applyFont="1" applyFill="1" applyBorder="1" applyAlignment="1">
      <alignment horizontal="center"/>
    </xf>
    <xf numFmtId="9" fontId="7" fillId="2" borderId="4" xfId="1" applyFont="1" applyFill="1" applyBorder="1" applyAlignment="1">
      <alignment horizontal="center"/>
    </xf>
    <xf numFmtId="164" fontId="7" fillId="2" borderId="4" xfId="1" applyNumberFormat="1" applyFont="1" applyFill="1" applyBorder="1" applyAlignment="1">
      <alignment horizontal="center"/>
    </xf>
    <xf numFmtId="165" fontId="7" fillId="2" borderId="4" xfId="2" applyNumberFormat="1" applyFont="1" applyFill="1" applyBorder="1" applyAlignment="1">
      <alignment horizontal="center"/>
    </xf>
    <xf numFmtId="3" fontId="2" fillId="2" borderId="4" xfId="2" applyNumberFormat="1" applyFont="1" applyFill="1" applyBorder="1" applyAlignment="1">
      <alignment horizontal="center"/>
    </xf>
    <xf numFmtId="166" fontId="2" fillId="2" borderId="4" xfId="2" applyNumberFormat="1" applyFont="1" applyFill="1" applyBorder="1" applyAlignment="1">
      <alignment horizontal="center"/>
    </xf>
    <xf numFmtId="9" fontId="7" fillId="2" borderId="5" xfId="1" applyFont="1" applyFill="1" applyBorder="1" applyAlignment="1">
      <alignment horizontal="center"/>
    </xf>
    <xf numFmtId="3" fontId="2" fillId="2" borderId="4" xfId="2" applyNumberFormat="1" applyFont="1" applyFill="1" applyBorder="1" applyAlignment="1">
      <alignment horizontal="center" vertical="center" wrapText="1"/>
    </xf>
    <xf numFmtId="4" fontId="3" fillId="2" borderId="1" xfId="2" applyNumberFormat="1" applyFont="1" applyFill="1" applyBorder="1" applyAlignment="1">
      <alignment horizontal="center"/>
    </xf>
    <xf numFmtId="4" fontId="3" fillId="2" borderId="2" xfId="2" applyNumberFormat="1" applyFont="1" applyFill="1" applyBorder="1" applyAlignment="1">
      <alignment horizontal="center"/>
    </xf>
    <xf numFmtId="4" fontId="3" fillId="2" borderId="3" xfId="2" applyNumberFormat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 vertical="center" wrapText="1"/>
    </xf>
    <xf numFmtId="0" fontId="2" fillId="2" borderId="1" xfId="2" applyFont="1" applyFill="1" applyBorder="1"/>
    <xf numFmtId="0" fontId="1" fillId="2" borderId="2" xfId="2" applyFill="1" applyBorder="1"/>
    <xf numFmtId="0" fontId="1" fillId="4" borderId="3" xfId="2" applyFill="1" applyBorder="1" applyAlignment="1">
      <alignment horizontal="center"/>
    </xf>
    <xf numFmtId="0" fontId="2" fillId="2" borderId="0" xfId="2" applyFont="1" applyFill="1" applyAlignment="1">
      <alignment wrapText="1"/>
    </xf>
    <xf numFmtId="0" fontId="2" fillId="2" borderId="9" xfId="2" applyFont="1" applyFill="1" applyBorder="1"/>
    <xf numFmtId="0" fontId="1" fillId="2" borderId="10" xfId="2" applyFill="1" applyBorder="1"/>
    <xf numFmtId="0" fontId="1" fillId="2" borderId="11" xfId="2" applyFill="1" applyBorder="1"/>
    <xf numFmtId="0" fontId="2" fillId="2" borderId="12" xfId="2" applyFont="1" applyFill="1" applyBorder="1"/>
    <xf numFmtId="0" fontId="1" fillId="2" borderId="0" xfId="2" quotePrefix="1" applyFill="1" applyAlignment="1">
      <alignment horizontal="right"/>
    </xf>
    <xf numFmtId="2" fontId="1" fillId="4" borderId="0" xfId="2" applyNumberFormat="1" applyFill="1"/>
    <xf numFmtId="0" fontId="6" fillId="5" borderId="13" xfId="2" applyFont="1" applyFill="1" applyBorder="1"/>
    <xf numFmtId="0" fontId="2" fillId="2" borderId="14" xfId="2" applyFont="1" applyFill="1" applyBorder="1"/>
    <xf numFmtId="0" fontId="1" fillId="2" borderId="15" xfId="2" quotePrefix="1" applyFill="1" applyBorder="1" applyAlignment="1">
      <alignment horizontal="right"/>
    </xf>
    <xf numFmtId="2" fontId="1" fillId="4" borderId="15" xfId="2" applyNumberFormat="1" applyFill="1" applyBorder="1"/>
    <xf numFmtId="0" fontId="6" fillId="5" borderId="16" xfId="2" applyFont="1" applyFill="1" applyBorder="1"/>
    <xf numFmtId="165" fontId="1" fillId="4" borderId="0" xfId="2" applyNumberFormat="1" applyFill="1"/>
    <xf numFmtId="165" fontId="1" fillId="4" borderId="15" xfId="2" applyNumberFormat="1" applyFill="1" applyBorder="1"/>
    <xf numFmtId="165" fontId="1" fillId="6" borderId="0" xfId="2" applyNumberFormat="1" applyFill="1"/>
    <xf numFmtId="0" fontId="8" fillId="2" borderId="12" xfId="2" applyFont="1" applyFill="1" applyBorder="1"/>
    <xf numFmtId="0" fontId="1" fillId="2" borderId="13" xfId="2" applyFill="1" applyBorder="1"/>
    <xf numFmtId="0" fontId="8" fillId="2" borderId="14" xfId="2" applyFont="1" applyFill="1" applyBorder="1"/>
    <xf numFmtId="0" fontId="1" fillId="2" borderId="15" xfId="2" applyFill="1" applyBorder="1"/>
    <xf numFmtId="0" fontId="1" fillId="2" borderId="16" xfId="2" applyFill="1" applyBorder="1"/>
  </cellXfs>
  <cellStyles count="3">
    <cellStyle name="Prozent" xfId="1" builtinId="5"/>
    <cellStyle name="Standard" xfId="0" builtinId="0"/>
    <cellStyle name="Standard 10 2" xfId="2" xr:uid="{01A44281-898A-45F7-8C39-A3D54331FE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Zamil_PET\Board_Meet\SEP99-B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RV\General\Zamil_PET\Board_Meet\SEP99-B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P2005\Investitionen\5_WiRe\WiRe-Muster_engl_2.Vers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DOWS\TEMP\PET_ASSETS_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"/>
      <sheetName val="Liab"/>
      <sheetName val="BS"/>
      <sheetName val="OH-Sep"/>
      <sheetName val="INC-Sep"/>
      <sheetName val="Sheet1"/>
      <sheetName val="IM projection "/>
      <sheetName val="FS COVER PAGE"/>
      <sheetName val="Summary"/>
      <sheetName val="Balance sheet"/>
      <sheetName val="Income"/>
      <sheetName val="Cash flows"/>
      <sheetName val="Valuation"/>
      <sheetName val="Operations"/>
      <sheetName val="Financing"/>
      <sheetName val="TB"/>
      <sheetName val="TB (2)"/>
      <sheetName val="TB (3)"/>
      <sheetName val="IM-FS"/>
      <sheetName val="IM (2)"/>
      <sheetName val="SOMA"/>
      <sheetName val="Assumptions"/>
      <sheetName val="IM"/>
      <sheetName val="Quick Analysis"/>
      <sheetName val="Sales Plan"/>
      <sheetName val="S-EL"/>
      <sheetName val="SALES COMPRISON"/>
      <sheetName val="Material Cost"/>
      <sheetName val="Mat Reqd"/>
      <sheetName val="Mat Price"/>
      <sheetName val="shipping"/>
      <sheetName val="Regular Emp (2)"/>
      <sheetName val="Regular Emp"/>
      <sheetName val="Contract Emp"/>
      <sheetName val="Assets &amp; Depreciation"/>
      <sheetName val="CAPEX"/>
      <sheetName val="Elect"/>
      <sheetName val="Insurance"/>
      <sheetName val="R&amp;M"/>
      <sheetName val="IT Services"/>
      <sheetName val="Freight"/>
      <sheetName val="BTrips"/>
      <sheetName val="Training PLan"/>
      <sheetName val="Audits Fee"/>
      <sheetName val="Telephone Charges"/>
      <sheetName val="RENTS"/>
      <sheetName val="FIN"/>
      <sheetName val="VEHICLE HIRE"/>
      <sheetName val="CONSUMABLES"/>
      <sheetName val="STATIONARY,COURIER"/>
      <sheetName val="OTHER EXPENSES"/>
      <sheetName val="FINANCE CHARGES"/>
      <sheetName val="Loan Sch"/>
      <sheetName val="ZAKAT"/>
      <sheetName val="IT"/>
      <sheetName val="MATERIAL REQUIREMENT"/>
      <sheetName val="IM PROD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"/>
      <sheetName val="Liab"/>
      <sheetName val="BS"/>
      <sheetName val="OH-Sep"/>
      <sheetName val="INC-Sep"/>
      <sheetName val="Financial Statement IM"/>
      <sheetName val="DATA-Graphs"/>
      <sheetName val="IM projection "/>
      <sheetName val="FS COVER PAGE"/>
      <sheetName val="Summary"/>
      <sheetName val="Balance sheet"/>
      <sheetName val="Income"/>
      <sheetName val="Cash flows"/>
      <sheetName val="Valuation"/>
      <sheetName val="Operations"/>
      <sheetName val="Financing"/>
      <sheetName val="TB"/>
      <sheetName val="TB (2)"/>
      <sheetName val="TB (3)"/>
      <sheetName val="IM-FS"/>
      <sheetName val="IM (2)"/>
      <sheetName val="SOMA"/>
      <sheetName val="Assumptions"/>
      <sheetName val="IM"/>
      <sheetName val="Quick Analysis"/>
      <sheetName val="Sales Plan"/>
      <sheetName val="S-EL"/>
      <sheetName val="SALES COMPRISON"/>
      <sheetName val="Material Cost"/>
      <sheetName val="Mat Reqd"/>
      <sheetName val="Mat Price"/>
      <sheetName val="shipping"/>
      <sheetName val="Regular Emp (2)"/>
      <sheetName val="Regular Emp"/>
      <sheetName val="Contract Emp"/>
      <sheetName val="Assets &amp; Depreciation"/>
      <sheetName val="CAPEX"/>
      <sheetName val="Elect"/>
      <sheetName val="Insurance"/>
      <sheetName val="R&amp;M"/>
      <sheetName val="IT Services"/>
      <sheetName val="Freight"/>
      <sheetName val="BTrips"/>
      <sheetName val="Training PLan"/>
      <sheetName val="Audits Fee"/>
      <sheetName val="Telephone Charges"/>
      <sheetName val="RENTS"/>
      <sheetName val="FIN"/>
      <sheetName val="VEHICLE HIRE"/>
      <sheetName val="CONSUMABLES"/>
      <sheetName val="STATIONARY,COURIER"/>
      <sheetName val="OTHER EXPENSES"/>
      <sheetName val="FINANCE CHARGES"/>
      <sheetName val="Loan Sch"/>
      <sheetName val="ZAKAT"/>
      <sheetName val="IT"/>
      <sheetName val="MATERIAL REQUIREMENT"/>
      <sheetName val="IM PROD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List"/>
      <sheetName val="2004 Dump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hnung, Daten"/>
      <sheetName val="Invest"/>
      <sheetName val="F"/>
      <sheetName val="Finanz"/>
      <sheetName val="Antrag"/>
      <sheetName val="E"/>
      <sheetName val="G"/>
      <sheetName val="Parameter1"/>
      <sheetName val="H"/>
      <sheetName val="Lackpreise"/>
      <sheetName val="Drop Down"/>
    </sheetNames>
    <sheetDataSet>
      <sheetData sheetId="0">
        <row r="1">
          <cell r="B1" t="str">
            <v>Profitability Calculation</v>
          </cell>
        </row>
      </sheetData>
      <sheetData sheetId="1">
        <row r="1">
          <cell r="B1" t="str">
            <v>Profitability Calculation</v>
          </cell>
        </row>
      </sheetData>
      <sheetData sheetId="2">
        <row r="5">
          <cell r="B5" t="str">
            <v>{gehezu}h:a130~</v>
          </cell>
        </row>
      </sheetData>
      <sheetData sheetId="3">
        <row r="1">
          <cell r="B1" t="str">
            <v>Profitability Calculation</v>
          </cell>
        </row>
      </sheetData>
      <sheetData sheetId="4"/>
      <sheetData sheetId="5">
        <row r="1">
          <cell r="A1" t="str">
            <v>Wirtschaftlichkeitsrechnung</v>
          </cell>
        </row>
      </sheetData>
      <sheetData sheetId="6">
        <row r="5">
          <cell r="B5" t="str">
            <v>n</v>
          </cell>
        </row>
      </sheetData>
      <sheetData sheetId="7"/>
      <sheetData sheetId="8">
        <row r="7">
          <cell r="B7" t="str">
            <v>~</v>
          </cell>
        </row>
      </sheetData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dg"/>
      <sheetName val="Mold"/>
      <sheetName val="Mach"/>
      <sheetName val="Veh"/>
      <sheetName val="Tool"/>
      <sheetName val="Offur"/>
      <sheetName val="Com"/>
      <sheetName val="LHP"/>
      <sheetName val="Sheet1"/>
      <sheetName val="veh01"/>
      <sheetName val="2000"/>
      <sheetName val="HO"/>
    </sheetNames>
    <sheetDataSet>
      <sheetData sheetId="0" refreshError="1"/>
      <sheetData sheetId="1" refreshError="1"/>
      <sheetData sheetId="2" refreshError="1"/>
      <sheetData sheetId="3">
        <row r="7">
          <cell r="A7" t="str">
            <v>YEAR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DE62-8D52-4D73-B0A4-4ADB53A924BA}">
  <sheetPr codeName="Tabelle10">
    <tabColor rgb="FFFFFF00"/>
  </sheetPr>
  <dimension ref="A1:BG64"/>
  <sheetViews>
    <sheetView tabSelected="1" topLeftCell="A29" workbookViewId="0">
      <selection activeCell="F43" sqref="F43"/>
    </sheetView>
  </sheetViews>
  <sheetFormatPr baseColWidth="10" defaultColWidth="11.44140625" defaultRowHeight="13.2" outlineLevelCol="1" x14ac:dyDescent="0.25"/>
  <cols>
    <col min="1" max="1" width="2.6640625" style="2" customWidth="1"/>
    <col min="2" max="2" width="0.88671875" style="3" customWidth="1"/>
    <col min="3" max="3" width="2.6640625" style="2" customWidth="1"/>
    <col min="4" max="4" width="16.44140625" style="2" bestFit="1" customWidth="1"/>
    <col min="5" max="5" width="12.44140625" style="2" customWidth="1"/>
    <col min="6" max="6" width="12.88671875" style="4" customWidth="1"/>
    <col min="7" max="7" width="7.6640625" style="2" customWidth="1" outlineLevel="1"/>
    <col min="8" max="8" width="10.109375" style="2" customWidth="1" outlineLevel="1"/>
    <col min="9" max="9" width="10.6640625" style="2" customWidth="1" outlineLevel="1"/>
    <col min="10" max="10" width="7.109375" style="5" customWidth="1" outlineLevel="1"/>
    <col min="11" max="11" width="10.33203125" style="5" bestFit="1" customWidth="1"/>
    <col min="12" max="12" width="10.88671875" style="6" bestFit="1" customWidth="1"/>
    <col min="13" max="13" width="6.6640625" style="2" customWidth="1" outlineLevel="1"/>
    <col min="14" max="14" width="8.88671875" style="2" customWidth="1" outlineLevel="1"/>
    <col min="15" max="15" width="7.88671875" style="2" customWidth="1" outlineLevel="1"/>
    <col min="16" max="16" width="12.6640625" style="1" customWidth="1"/>
    <col min="17" max="17" width="7.44140625" style="7" customWidth="1" outlineLevel="1"/>
    <col min="18" max="18" width="6.44140625" style="5" customWidth="1" outlineLevel="1"/>
    <col min="19" max="19" width="8.6640625" style="6" customWidth="1" outlineLevel="1"/>
    <col min="20" max="20" width="12.6640625" style="8" customWidth="1"/>
    <col min="21" max="21" width="5.44140625" style="5" customWidth="1" outlineLevel="1"/>
    <col min="22" max="22" width="8.6640625" style="6" customWidth="1" outlineLevel="1"/>
    <col min="23" max="23" width="12.6640625" style="8" customWidth="1"/>
    <col min="24" max="24" width="5.44140625" style="5" customWidth="1" outlineLevel="1"/>
    <col min="25" max="25" width="8.6640625" style="6" customWidth="1" outlineLevel="1"/>
    <col min="26" max="26" width="12.6640625" style="8" customWidth="1"/>
    <col min="27" max="27" width="5.44140625" style="5" customWidth="1" outlineLevel="1"/>
    <col min="28" max="28" width="8.6640625" style="6" customWidth="1" outlineLevel="1"/>
    <col min="29" max="29" width="12.6640625" style="8" customWidth="1"/>
    <col min="30" max="31" width="7" style="2" customWidth="1" outlineLevel="1"/>
    <col min="32" max="32" width="7.88671875" style="2" customWidth="1" outlineLevel="1"/>
    <col min="33" max="34" width="7" style="2" customWidth="1" outlineLevel="1"/>
    <col min="35" max="35" width="7.88671875" style="2" customWidth="1" outlineLevel="1"/>
    <col min="36" max="37" width="7" style="2" customWidth="1" outlineLevel="1"/>
    <col min="38" max="38" width="7.88671875" style="2" customWidth="1" outlineLevel="1"/>
    <col min="39" max="39" width="12.6640625" style="2" customWidth="1"/>
    <col min="40" max="40" width="2.6640625" style="2" customWidth="1"/>
    <col min="41" max="43" width="12.6640625" style="8" customWidth="1" collapsed="1"/>
    <col min="44" max="44" width="2.6640625" style="2" customWidth="1"/>
    <col min="45" max="45" width="0.88671875" style="3" customWidth="1"/>
    <col min="46" max="46" width="2.6640625" style="2" customWidth="1"/>
    <col min="47" max="16384" width="11.44140625" style="2"/>
  </cols>
  <sheetData>
    <row r="1" spans="2:45" ht="21.6" thickBot="1" x14ac:dyDescent="0.45">
      <c r="F1" s="49" t="s">
        <v>0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1"/>
      <c r="AO1" s="52" t="s">
        <v>1</v>
      </c>
      <c r="AP1" s="53"/>
      <c r="AQ1" s="54"/>
    </row>
    <row r="2" spans="2:45" x14ac:dyDescent="0.25">
      <c r="AE2" s="5" t="s">
        <v>2</v>
      </c>
      <c r="AH2" s="5" t="s">
        <v>3</v>
      </c>
      <c r="AK2" s="5" t="s">
        <v>4</v>
      </c>
    </row>
    <row r="3" spans="2:45" x14ac:dyDescent="0.25">
      <c r="G3" s="9">
        <v>254</v>
      </c>
      <c r="H3" s="9">
        <v>2</v>
      </c>
      <c r="I3" s="9">
        <v>8</v>
      </c>
      <c r="J3" s="10">
        <v>0.9</v>
      </c>
      <c r="N3" s="11">
        <v>30</v>
      </c>
      <c r="O3" s="12" t="s">
        <v>5</v>
      </c>
      <c r="Q3" s="11">
        <v>10</v>
      </c>
      <c r="R3" s="13" t="s">
        <v>6</v>
      </c>
      <c r="U3" s="14">
        <v>0.08</v>
      </c>
      <c r="X3" s="14">
        <v>4.4999999999999997E-3</v>
      </c>
      <c r="AA3" s="14">
        <v>0.02</v>
      </c>
      <c r="AE3" s="15">
        <v>0.06</v>
      </c>
      <c r="AH3" s="15">
        <v>0.06</v>
      </c>
      <c r="AK3" s="15">
        <v>0.03</v>
      </c>
    </row>
    <row r="4" spans="2:45" s="16" customFormat="1" ht="26.4" x14ac:dyDescent="0.25">
      <c r="B4" s="17"/>
      <c r="F4" s="18" t="s">
        <v>7</v>
      </c>
      <c r="G4" s="55" t="s">
        <v>8</v>
      </c>
      <c r="H4" s="55"/>
      <c r="I4" s="55"/>
      <c r="J4" s="55"/>
      <c r="K4" s="55"/>
      <c r="L4" s="20" t="s">
        <v>9</v>
      </c>
      <c r="M4" s="48" t="s">
        <v>10</v>
      </c>
      <c r="N4" s="48"/>
      <c r="O4" s="48"/>
      <c r="P4" s="48"/>
      <c r="Q4" s="48" t="s">
        <v>11</v>
      </c>
      <c r="R4" s="48"/>
      <c r="S4" s="48"/>
      <c r="T4" s="48"/>
      <c r="U4" s="55" t="s">
        <v>12</v>
      </c>
      <c r="V4" s="55"/>
      <c r="W4" s="55"/>
      <c r="X4" s="55" t="s">
        <v>13</v>
      </c>
      <c r="Y4" s="55"/>
      <c r="Z4" s="55"/>
      <c r="AA4" s="55" t="s">
        <v>14</v>
      </c>
      <c r="AB4" s="55"/>
      <c r="AC4" s="55"/>
      <c r="AD4" s="48" t="s">
        <v>15</v>
      </c>
      <c r="AE4" s="48"/>
      <c r="AF4" s="48"/>
      <c r="AG4" s="48"/>
      <c r="AH4" s="48"/>
      <c r="AI4" s="48"/>
      <c r="AJ4" s="48"/>
      <c r="AK4" s="48"/>
      <c r="AL4" s="48"/>
      <c r="AM4" s="48"/>
      <c r="AO4" s="19" t="s">
        <v>16</v>
      </c>
      <c r="AP4" s="19" t="s">
        <v>17</v>
      </c>
      <c r="AQ4" s="19" t="s">
        <v>18</v>
      </c>
      <c r="AS4" s="17"/>
    </row>
    <row r="5" spans="2:45" x14ac:dyDescent="0.25">
      <c r="E5" s="21" t="s">
        <v>19</v>
      </c>
      <c r="F5" s="22" t="s">
        <v>20</v>
      </c>
      <c r="G5" s="23" t="s">
        <v>21</v>
      </c>
      <c r="H5" s="23" t="s">
        <v>22</v>
      </c>
      <c r="I5" s="23" t="s">
        <v>23</v>
      </c>
      <c r="J5" s="21" t="s">
        <v>24</v>
      </c>
      <c r="K5" s="24" t="s">
        <v>25</v>
      </c>
      <c r="L5" s="25" t="s">
        <v>26</v>
      </c>
      <c r="M5" s="26" t="s">
        <v>27</v>
      </c>
      <c r="N5" s="26" t="s">
        <v>5</v>
      </c>
      <c r="O5" s="27" t="s">
        <v>28</v>
      </c>
      <c r="P5" s="28" t="s">
        <v>20</v>
      </c>
      <c r="Q5" s="29" t="s">
        <v>6</v>
      </c>
      <c r="R5" s="30" t="s">
        <v>29</v>
      </c>
      <c r="S5" s="27" t="s">
        <v>28</v>
      </c>
      <c r="T5" s="28" t="s">
        <v>20</v>
      </c>
      <c r="U5" s="30" t="s">
        <v>29</v>
      </c>
      <c r="V5" s="27" t="s">
        <v>28</v>
      </c>
      <c r="W5" s="28" t="s">
        <v>20</v>
      </c>
      <c r="X5" s="30" t="s">
        <v>29</v>
      </c>
      <c r="Y5" s="27" t="s">
        <v>28</v>
      </c>
      <c r="Z5" s="28" t="s">
        <v>20</v>
      </c>
      <c r="AA5" s="30" t="s">
        <v>29</v>
      </c>
      <c r="AB5" s="27" t="s">
        <v>28</v>
      </c>
      <c r="AC5" s="28" t="s">
        <v>20</v>
      </c>
      <c r="AD5" s="26" t="s">
        <v>30</v>
      </c>
      <c r="AE5" s="26" t="s">
        <v>31</v>
      </c>
      <c r="AF5" s="27" t="s">
        <v>28</v>
      </c>
      <c r="AG5" s="26" t="s">
        <v>32</v>
      </c>
      <c r="AH5" s="26" t="s">
        <v>33</v>
      </c>
      <c r="AI5" s="27" t="s">
        <v>28</v>
      </c>
      <c r="AJ5" s="26" t="s">
        <v>32</v>
      </c>
      <c r="AK5" s="26" t="s">
        <v>33</v>
      </c>
      <c r="AL5" s="27" t="s">
        <v>28</v>
      </c>
      <c r="AM5" s="28" t="s">
        <v>20</v>
      </c>
      <c r="AO5" s="28" t="s">
        <v>34</v>
      </c>
      <c r="AP5" s="28" t="s">
        <v>20</v>
      </c>
      <c r="AQ5" s="28" t="s">
        <v>35</v>
      </c>
    </row>
    <row r="6" spans="2:45" x14ac:dyDescent="0.25">
      <c r="D6" s="23" t="s">
        <v>36</v>
      </c>
      <c r="E6" s="31">
        <v>150</v>
      </c>
      <c r="F6" s="32">
        <f t="shared" ref="F6:F12" si="0">SUM(T6,W6,Z6,AC6,P6,AM6)</f>
        <v>17.511119969378829</v>
      </c>
      <c r="G6" s="33">
        <f t="shared" ref="G6:J23" si="1">G$3</f>
        <v>254</v>
      </c>
      <c r="H6" s="33">
        <f t="shared" si="1"/>
        <v>2</v>
      </c>
      <c r="I6" s="33">
        <f t="shared" si="1"/>
        <v>8</v>
      </c>
      <c r="J6" s="34">
        <f t="shared" si="1"/>
        <v>0.9</v>
      </c>
      <c r="K6" s="35">
        <f t="shared" ref="K6:K23" si="2">G6*H6*I6*J6</f>
        <v>3657.6</v>
      </c>
      <c r="L6" s="36">
        <v>347300</v>
      </c>
      <c r="M6" s="37">
        <v>26.5</v>
      </c>
      <c r="N6" s="38">
        <f>N$3</f>
        <v>30</v>
      </c>
      <c r="O6" s="39">
        <f t="shared" ref="O6:O23" si="3">M6*N6</f>
        <v>795</v>
      </c>
      <c r="P6" s="40">
        <f>O6/$K6</f>
        <v>0.21735564304461943</v>
      </c>
      <c r="Q6" s="41">
        <f>Q$3</f>
        <v>10</v>
      </c>
      <c r="R6" s="42">
        <f>IFERROR(1/Q6,0)</f>
        <v>0.1</v>
      </c>
      <c r="S6" s="39">
        <f>IFERROR(L6*R6,0)</f>
        <v>34730</v>
      </c>
      <c r="T6" s="40">
        <f>IFERROR(S6/$K6,0)</f>
        <v>9.4952974628171489</v>
      </c>
      <c r="U6" s="43">
        <f>U$3</f>
        <v>0.08</v>
      </c>
      <c r="V6" s="39">
        <f t="shared" ref="V6:V12" si="4">L6*U6/2</f>
        <v>13892</v>
      </c>
      <c r="W6" s="40">
        <f>V6/$K6</f>
        <v>3.7981189851268593</v>
      </c>
      <c r="X6" s="43">
        <f t="shared" ref="X6:X23" si="5">X$3</f>
        <v>4.4999999999999997E-3</v>
      </c>
      <c r="Y6" s="39">
        <f>X6*$L6</f>
        <v>1562.85</v>
      </c>
      <c r="Z6" s="40">
        <f>Y6/$K6</f>
        <v>0.42728838582677164</v>
      </c>
      <c r="AA6" s="43">
        <f t="shared" ref="AA6:AA23" si="6">AA$3</f>
        <v>0.02</v>
      </c>
      <c r="AB6" s="39">
        <f>AA6*$L6</f>
        <v>6946</v>
      </c>
      <c r="AC6" s="40">
        <f>AB6/$K6</f>
        <v>1.8990594925634297</v>
      </c>
      <c r="AD6" s="37">
        <v>22</v>
      </c>
      <c r="AE6" s="38">
        <f>AE$3</f>
        <v>0.06</v>
      </c>
      <c r="AF6" s="39">
        <f>AD6*AE6*$K6</f>
        <v>4828.0319999999992</v>
      </c>
      <c r="AG6" s="44">
        <v>5</v>
      </c>
      <c r="AH6" s="38">
        <f t="shared" ref="AH6:AH23" si="7">AH$3</f>
        <v>0.06</v>
      </c>
      <c r="AI6" s="39">
        <f>AG6*AH6*$K6</f>
        <v>1097.28</v>
      </c>
      <c r="AJ6" s="44">
        <v>1.8</v>
      </c>
      <c r="AK6" s="38">
        <f t="shared" ref="AK6:AK23" si="8">AK$3</f>
        <v>0.03</v>
      </c>
      <c r="AL6" s="39">
        <f>AJ6*AK6*$K6</f>
        <v>197.5104</v>
      </c>
      <c r="AM6" s="40">
        <f>SUM(AF6,AI6,AL6)/$K6</f>
        <v>1.6739999999999997</v>
      </c>
      <c r="AO6" s="45">
        <v>45</v>
      </c>
      <c r="AP6" s="40">
        <f t="shared" ref="AP6:AP28" si="9">F6</f>
        <v>17.511119969378829</v>
      </c>
      <c r="AQ6" s="46">
        <v>1</v>
      </c>
    </row>
    <row r="7" spans="2:45" x14ac:dyDescent="0.25">
      <c r="D7" s="23" t="s">
        <v>36</v>
      </c>
      <c r="E7" s="31">
        <v>220</v>
      </c>
      <c r="F7" s="32">
        <f t="shared" si="0"/>
        <v>20.674484470691162</v>
      </c>
      <c r="G7" s="33">
        <f t="shared" si="1"/>
        <v>254</v>
      </c>
      <c r="H7" s="33">
        <f t="shared" si="1"/>
        <v>2</v>
      </c>
      <c r="I7" s="33">
        <f t="shared" si="1"/>
        <v>8</v>
      </c>
      <c r="J7" s="34">
        <f t="shared" si="1"/>
        <v>0.9</v>
      </c>
      <c r="K7" s="35">
        <f t="shared" si="2"/>
        <v>3657.6</v>
      </c>
      <c r="L7" s="36">
        <v>409399.99999999994</v>
      </c>
      <c r="M7" s="37">
        <v>29.6</v>
      </c>
      <c r="N7" s="38">
        <f t="shared" ref="N7:N23" si="10">N$3</f>
        <v>30</v>
      </c>
      <c r="O7" s="39">
        <f t="shared" si="3"/>
        <v>888</v>
      </c>
      <c r="P7" s="40">
        <f>O7/$K7</f>
        <v>0.24278215223097113</v>
      </c>
      <c r="Q7" s="41">
        <f>Q$3</f>
        <v>10</v>
      </c>
      <c r="R7" s="42">
        <f t="shared" ref="R7:R12" si="11">IFERROR(1/Q7,0)</f>
        <v>0.1</v>
      </c>
      <c r="S7" s="39">
        <f t="shared" ref="S7:S12" si="12">IFERROR(L7*R7,0)</f>
        <v>40940</v>
      </c>
      <c r="T7" s="40">
        <f>IFERROR(S7/$K7,0)</f>
        <v>11.19313210848644</v>
      </c>
      <c r="U7" s="43">
        <f>U$3</f>
        <v>0.08</v>
      </c>
      <c r="V7" s="39">
        <f t="shared" si="4"/>
        <v>16375.999999999998</v>
      </c>
      <c r="W7" s="40">
        <f>V7/$K7</f>
        <v>4.4772528433945755</v>
      </c>
      <c r="X7" s="43">
        <f t="shared" si="5"/>
        <v>4.4999999999999997E-3</v>
      </c>
      <c r="Y7" s="39">
        <f>X7*$L7</f>
        <v>1842.2999999999995</v>
      </c>
      <c r="Z7" s="40">
        <f>Y7/$K7</f>
        <v>0.50369094488188959</v>
      </c>
      <c r="AA7" s="43">
        <f t="shared" si="6"/>
        <v>0.02</v>
      </c>
      <c r="AB7" s="39">
        <f>AA7*$L7</f>
        <v>8187.9999999999991</v>
      </c>
      <c r="AC7" s="40">
        <f>AB7/$K7</f>
        <v>2.2386264216972878</v>
      </c>
      <c r="AD7" s="37">
        <v>26.7</v>
      </c>
      <c r="AE7" s="38">
        <f>AE$3</f>
        <v>0.06</v>
      </c>
      <c r="AF7" s="39">
        <f>AD7*AE7*$K7</f>
        <v>5859.4751999999989</v>
      </c>
      <c r="AG7" s="44">
        <v>5.9</v>
      </c>
      <c r="AH7" s="38">
        <f t="shared" si="7"/>
        <v>0.06</v>
      </c>
      <c r="AI7" s="39">
        <f>AG7*AH7*$K7</f>
        <v>1294.7903999999999</v>
      </c>
      <c r="AJ7" s="44">
        <v>2.1</v>
      </c>
      <c r="AK7" s="38">
        <f t="shared" si="8"/>
        <v>0.03</v>
      </c>
      <c r="AL7" s="39">
        <f>AJ7*AK7*$K7</f>
        <v>230.4288</v>
      </c>
      <c r="AM7" s="40">
        <f>SUM(AF7,AI7,AL7)/$K7</f>
        <v>2.0189999999999997</v>
      </c>
      <c r="AO7" s="45">
        <v>45</v>
      </c>
      <c r="AP7" s="40">
        <f t="shared" si="9"/>
        <v>20.674484470691162</v>
      </c>
      <c r="AQ7" s="46">
        <v>1</v>
      </c>
    </row>
    <row r="8" spans="2:45" x14ac:dyDescent="0.25">
      <c r="D8" s="23" t="s">
        <v>36</v>
      </c>
      <c r="E8" s="31">
        <v>300</v>
      </c>
      <c r="F8" s="32">
        <f t="shared" si="0"/>
        <v>23.793328083989497</v>
      </c>
      <c r="G8" s="33">
        <f t="shared" si="1"/>
        <v>254</v>
      </c>
      <c r="H8" s="33">
        <f t="shared" si="1"/>
        <v>2</v>
      </c>
      <c r="I8" s="33">
        <f t="shared" si="1"/>
        <v>8</v>
      </c>
      <c r="J8" s="47">
        <f t="shared" si="1"/>
        <v>0.9</v>
      </c>
      <c r="K8" s="35">
        <f t="shared" si="2"/>
        <v>3657.6</v>
      </c>
      <c r="L8" s="36">
        <v>469199.99999999994</v>
      </c>
      <c r="M8" s="37">
        <v>33.299999999999997</v>
      </c>
      <c r="N8" s="38">
        <f t="shared" si="10"/>
        <v>30</v>
      </c>
      <c r="O8" s="39">
        <f t="shared" si="3"/>
        <v>998.99999999999989</v>
      </c>
      <c r="P8" s="40">
        <f>O8/$K8</f>
        <v>0.27312992125984248</v>
      </c>
      <c r="Q8" s="41">
        <f t="shared" ref="Q8:Q23" si="13">Q$3</f>
        <v>10</v>
      </c>
      <c r="R8" s="42">
        <f t="shared" si="11"/>
        <v>0.1</v>
      </c>
      <c r="S8" s="39">
        <f t="shared" si="12"/>
        <v>46920</v>
      </c>
      <c r="T8" s="40">
        <f>IFERROR(S8/$K8,0)</f>
        <v>12.828083989501312</v>
      </c>
      <c r="U8" s="43">
        <f t="shared" ref="U8:U23" si="14">U$3</f>
        <v>0.08</v>
      </c>
      <c r="V8" s="39">
        <f t="shared" si="4"/>
        <v>18767.999999999996</v>
      </c>
      <c r="W8" s="40">
        <f>V8/$K8</f>
        <v>5.1312335958005244</v>
      </c>
      <c r="X8" s="43">
        <f t="shared" si="5"/>
        <v>4.4999999999999997E-3</v>
      </c>
      <c r="Y8" s="39">
        <f>X8*$L8</f>
        <v>2111.3999999999996</v>
      </c>
      <c r="Z8" s="40">
        <f>Y8/$K8</f>
        <v>0.57726377952755892</v>
      </c>
      <c r="AA8" s="43">
        <f t="shared" si="6"/>
        <v>0.02</v>
      </c>
      <c r="AB8" s="39">
        <f>AA8*$L8</f>
        <v>9383.9999999999982</v>
      </c>
      <c r="AC8" s="40">
        <f>AB8/$K8</f>
        <v>2.5656167979002622</v>
      </c>
      <c r="AD8" s="37">
        <v>32</v>
      </c>
      <c r="AE8" s="38">
        <f t="shared" ref="AE8:AE23" si="15">AE$3</f>
        <v>0.06</v>
      </c>
      <c r="AF8" s="39">
        <f>AD8*AE8*$K8</f>
        <v>7022.5919999999996</v>
      </c>
      <c r="AG8" s="37">
        <v>7</v>
      </c>
      <c r="AH8" s="38">
        <f t="shared" si="7"/>
        <v>0.06</v>
      </c>
      <c r="AI8" s="39">
        <f>AG8*AH8*$K8</f>
        <v>1536.192</v>
      </c>
      <c r="AJ8" s="37">
        <v>2.6</v>
      </c>
      <c r="AK8" s="38">
        <f t="shared" si="8"/>
        <v>0.03</v>
      </c>
      <c r="AL8" s="39">
        <f>AJ8*AK8*$K8</f>
        <v>285.2928</v>
      </c>
      <c r="AM8" s="40">
        <f>SUM(AF8,AI8,AL8)/$K8</f>
        <v>2.4179999999999997</v>
      </c>
      <c r="AO8" s="45">
        <v>45</v>
      </c>
      <c r="AP8" s="40">
        <f t="shared" si="9"/>
        <v>23.793328083989497</v>
      </c>
      <c r="AQ8" s="46">
        <v>1</v>
      </c>
    </row>
    <row r="9" spans="2:45" x14ac:dyDescent="0.25">
      <c r="D9" s="23" t="s">
        <v>36</v>
      </c>
      <c r="E9" s="31">
        <v>450</v>
      </c>
      <c r="F9" s="32">
        <f t="shared" si="0"/>
        <v>28.819087598425195</v>
      </c>
      <c r="G9" s="33">
        <f t="shared" si="1"/>
        <v>254</v>
      </c>
      <c r="H9" s="33">
        <f t="shared" si="1"/>
        <v>2</v>
      </c>
      <c r="I9" s="33">
        <f t="shared" si="1"/>
        <v>8</v>
      </c>
      <c r="J9" s="47">
        <f t="shared" si="1"/>
        <v>0.9</v>
      </c>
      <c r="K9" s="35">
        <f t="shared" si="2"/>
        <v>3657.6</v>
      </c>
      <c r="L9" s="36">
        <v>558900</v>
      </c>
      <c r="M9" s="37">
        <v>40.799999999999997</v>
      </c>
      <c r="N9" s="38">
        <f t="shared" si="10"/>
        <v>30</v>
      </c>
      <c r="O9" s="39">
        <f t="shared" si="3"/>
        <v>1224</v>
      </c>
      <c r="P9" s="40">
        <f>O9/$K9</f>
        <v>0.3346456692913386</v>
      </c>
      <c r="Q9" s="41">
        <f t="shared" si="13"/>
        <v>10</v>
      </c>
      <c r="R9" s="42">
        <f t="shared" si="11"/>
        <v>0.1</v>
      </c>
      <c r="S9" s="39">
        <f t="shared" si="12"/>
        <v>55890</v>
      </c>
      <c r="T9" s="40">
        <f>IFERROR(S9/$K9,0)</f>
        <v>15.280511811023622</v>
      </c>
      <c r="U9" s="43">
        <f t="shared" si="14"/>
        <v>0.08</v>
      </c>
      <c r="V9" s="39">
        <f t="shared" si="4"/>
        <v>22356</v>
      </c>
      <c r="W9" s="40">
        <f>V9/$K9</f>
        <v>6.1122047244094491</v>
      </c>
      <c r="X9" s="43">
        <f t="shared" si="5"/>
        <v>4.4999999999999997E-3</v>
      </c>
      <c r="Y9" s="39">
        <f>X9*$L9</f>
        <v>2515.0499999999997</v>
      </c>
      <c r="Z9" s="40">
        <f>Y9/$K9</f>
        <v>0.68762303149606296</v>
      </c>
      <c r="AA9" s="43">
        <f t="shared" si="6"/>
        <v>0.02</v>
      </c>
      <c r="AB9" s="39">
        <f>AA9*$L9</f>
        <v>11178</v>
      </c>
      <c r="AC9" s="40">
        <f>AB9/$K9</f>
        <v>3.0561023622047245</v>
      </c>
      <c r="AD9" s="37">
        <v>45</v>
      </c>
      <c r="AE9" s="38">
        <f t="shared" si="15"/>
        <v>0.06</v>
      </c>
      <c r="AF9" s="39">
        <f>AD9*AE9*$K9</f>
        <v>9875.5199999999986</v>
      </c>
      <c r="AG9" s="37">
        <v>9</v>
      </c>
      <c r="AH9" s="38">
        <f t="shared" si="7"/>
        <v>0.06</v>
      </c>
      <c r="AI9" s="39">
        <f>AG9*AH9*$K9</f>
        <v>1975.104</v>
      </c>
      <c r="AJ9" s="37">
        <v>3.6</v>
      </c>
      <c r="AK9" s="38">
        <f t="shared" si="8"/>
        <v>0.03</v>
      </c>
      <c r="AL9" s="39">
        <f>AJ9*AK9*$K9</f>
        <v>395.02080000000001</v>
      </c>
      <c r="AM9" s="40">
        <f>SUM(AF9,AI9,AL9)/$K9</f>
        <v>3.3479999999999994</v>
      </c>
      <c r="AO9" s="45">
        <v>45</v>
      </c>
      <c r="AP9" s="40">
        <f t="shared" si="9"/>
        <v>28.819087598425195</v>
      </c>
      <c r="AQ9" s="46">
        <v>1.5</v>
      </c>
    </row>
    <row r="10" spans="2:45" x14ac:dyDescent="0.25">
      <c r="D10" s="23" t="s">
        <v>36</v>
      </c>
      <c r="E10" s="31">
        <v>530</v>
      </c>
      <c r="F10" s="32">
        <f t="shared" si="0"/>
        <v>31.03319192913386</v>
      </c>
      <c r="G10" s="33">
        <f t="shared" si="1"/>
        <v>254</v>
      </c>
      <c r="H10" s="33">
        <f t="shared" si="1"/>
        <v>2</v>
      </c>
      <c r="I10" s="33">
        <f t="shared" si="1"/>
        <v>8</v>
      </c>
      <c r="J10" s="47">
        <f t="shared" si="1"/>
        <v>0.9</v>
      </c>
      <c r="K10" s="35">
        <f t="shared" si="2"/>
        <v>3657.6</v>
      </c>
      <c r="L10" s="36">
        <v>600300</v>
      </c>
      <c r="M10" s="37">
        <v>43.5</v>
      </c>
      <c r="N10" s="38">
        <f t="shared" si="10"/>
        <v>30</v>
      </c>
      <c r="O10" s="39">
        <f t="shared" si="3"/>
        <v>1305</v>
      </c>
      <c r="P10" s="40">
        <f>O10/$K10</f>
        <v>0.3567913385826772</v>
      </c>
      <c r="Q10" s="41">
        <f t="shared" si="13"/>
        <v>10</v>
      </c>
      <c r="R10" s="42">
        <f t="shared" si="11"/>
        <v>0.1</v>
      </c>
      <c r="S10" s="39">
        <f t="shared" si="12"/>
        <v>60030</v>
      </c>
      <c r="T10" s="40">
        <f>IFERROR(S10/$K10,0)</f>
        <v>16.412401574803152</v>
      </c>
      <c r="U10" s="43">
        <f t="shared" si="14"/>
        <v>0.08</v>
      </c>
      <c r="V10" s="39">
        <f t="shared" si="4"/>
        <v>24012</v>
      </c>
      <c r="W10" s="40">
        <f>V10/$K10</f>
        <v>6.5649606299212602</v>
      </c>
      <c r="X10" s="43">
        <f t="shared" si="5"/>
        <v>4.4999999999999997E-3</v>
      </c>
      <c r="Y10" s="39">
        <f>X10*$L10</f>
        <v>2701.35</v>
      </c>
      <c r="Z10" s="40">
        <f>Y10/$K10</f>
        <v>0.73855807086614178</v>
      </c>
      <c r="AA10" s="43">
        <f t="shared" si="6"/>
        <v>0.02</v>
      </c>
      <c r="AB10" s="39">
        <f>AA10*$L10</f>
        <v>12006</v>
      </c>
      <c r="AC10" s="40">
        <f>AB10/$K10</f>
        <v>3.2824803149606301</v>
      </c>
      <c r="AD10" s="37">
        <v>49.6</v>
      </c>
      <c r="AE10" s="38">
        <f t="shared" si="15"/>
        <v>0.06</v>
      </c>
      <c r="AF10" s="39">
        <f>AD10*AE10*$K10</f>
        <v>10885.017599999999</v>
      </c>
      <c r="AG10" s="37">
        <v>9.6999999999999993</v>
      </c>
      <c r="AH10" s="38">
        <f t="shared" si="7"/>
        <v>0.06</v>
      </c>
      <c r="AI10" s="39">
        <f>AG10*AH10*$K10</f>
        <v>2128.7231999999999</v>
      </c>
      <c r="AJ10" s="37">
        <v>4</v>
      </c>
      <c r="AK10" s="38">
        <f t="shared" si="8"/>
        <v>0.03</v>
      </c>
      <c r="AL10" s="39">
        <f>AJ10*AK10*$K10</f>
        <v>438.91199999999998</v>
      </c>
      <c r="AM10" s="40">
        <f>SUM(AF10,AI10,AL10)/$K10</f>
        <v>3.6779999999999999</v>
      </c>
      <c r="AO10" s="45">
        <v>60</v>
      </c>
      <c r="AP10" s="40">
        <f t="shared" si="9"/>
        <v>31.03319192913386</v>
      </c>
      <c r="AQ10" s="46">
        <v>1.5</v>
      </c>
    </row>
    <row r="11" spans="2:45" x14ac:dyDescent="0.25">
      <c r="D11" s="23" t="s">
        <v>36</v>
      </c>
      <c r="E11" s="31">
        <v>550</v>
      </c>
      <c r="F11" s="32">
        <f t="shared" si="0"/>
        <v>31.532881780402452</v>
      </c>
      <c r="G11" s="33">
        <f t="shared" si="1"/>
        <v>254</v>
      </c>
      <c r="H11" s="33">
        <f t="shared" si="1"/>
        <v>2</v>
      </c>
      <c r="I11" s="33">
        <f t="shared" si="1"/>
        <v>8</v>
      </c>
      <c r="J11" s="47">
        <f t="shared" si="1"/>
        <v>0.9</v>
      </c>
      <c r="K11" s="35">
        <f t="shared" si="2"/>
        <v>3657.6</v>
      </c>
      <c r="L11" s="36">
        <v>609500</v>
      </c>
      <c r="M11" s="37">
        <v>44.1</v>
      </c>
      <c r="N11" s="38">
        <f t="shared" si="10"/>
        <v>30</v>
      </c>
      <c r="O11" s="39">
        <f t="shared" si="3"/>
        <v>1323</v>
      </c>
      <c r="P11" s="40">
        <f>O11/$K11</f>
        <v>0.36171259842519687</v>
      </c>
      <c r="Q11" s="41">
        <f t="shared" si="13"/>
        <v>10</v>
      </c>
      <c r="R11" s="42">
        <f t="shared" si="11"/>
        <v>0.1</v>
      </c>
      <c r="S11" s="39">
        <f t="shared" si="12"/>
        <v>60950</v>
      </c>
      <c r="T11" s="40">
        <f>IFERROR(S11/$K11,0)</f>
        <v>16.663932633420824</v>
      </c>
      <c r="U11" s="43">
        <f t="shared" si="14"/>
        <v>0.08</v>
      </c>
      <c r="V11" s="39">
        <f t="shared" si="4"/>
        <v>24380</v>
      </c>
      <c r="W11" s="40">
        <f>V11/$K11</f>
        <v>6.6655730533683295</v>
      </c>
      <c r="X11" s="43">
        <f t="shared" si="5"/>
        <v>4.4999999999999997E-3</v>
      </c>
      <c r="Y11" s="39">
        <f>X11*$L11</f>
        <v>2742.75</v>
      </c>
      <c r="Z11" s="40">
        <f>Y11/$K11</f>
        <v>0.74987696850393704</v>
      </c>
      <c r="AA11" s="43">
        <f t="shared" si="6"/>
        <v>0.02</v>
      </c>
      <c r="AB11" s="39">
        <f>AA11*$L11</f>
        <v>12190</v>
      </c>
      <c r="AC11" s="40">
        <f>AB11/$K11</f>
        <v>3.3327865266841648</v>
      </c>
      <c r="AD11" s="37">
        <v>50.7</v>
      </c>
      <c r="AE11" s="38">
        <f t="shared" si="15"/>
        <v>0.06</v>
      </c>
      <c r="AF11" s="39">
        <f>AD11*AE11*$K11</f>
        <v>11126.4192</v>
      </c>
      <c r="AG11" s="37">
        <v>9.9</v>
      </c>
      <c r="AH11" s="38">
        <f t="shared" si="7"/>
        <v>0.06</v>
      </c>
      <c r="AI11" s="39">
        <f>AG11*AH11*$K11</f>
        <v>2172.6143999999999</v>
      </c>
      <c r="AJ11" s="37">
        <v>4.0999999999999996</v>
      </c>
      <c r="AK11" s="38">
        <f t="shared" si="8"/>
        <v>0.03</v>
      </c>
      <c r="AL11" s="39">
        <f>AJ11*AK11*$K11</f>
        <v>449.88479999999993</v>
      </c>
      <c r="AM11" s="40">
        <f>SUM(AF11,AI11,AL11)/$K11</f>
        <v>3.7590000000000003</v>
      </c>
      <c r="AO11" s="45">
        <v>60</v>
      </c>
      <c r="AP11" s="40">
        <f t="shared" si="9"/>
        <v>31.532881780402452</v>
      </c>
      <c r="AQ11" s="46">
        <v>1.5</v>
      </c>
    </row>
    <row r="12" spans="2:45" x14ac:dyDescent="0.25">
      <c r="D12" s="23" t="s">
        <v>36</v>
      </c>
      <c r="E12" s="31">
        <v>600</v>
      </c>
      <c r="F12" s="32">
        <f t="shared" si="0"/>
        <v>32.836967902449693</v>
      </c>
      <c r="G12" s="33">
        <f t="shared" si="1"/>
        <v>254</v>
      </c>
      <c r="H12" s="33">
        <f t="shared" si="1"/>
        <v>2</v>
      </c>
      <c r="I12" s="33">
        <f t="shared" si="1"/>
        <v>8</v>
      </c>
      <c r="J12" s="47">
        <f t="shared" si="1"/>
        <v>0.9</v>
      </c>
      <c r="K12" s="35">
        <f t="shared" si="2"/>
        <v>3657.6</v>
      </c>
      <c r="L12" s="36">
        <v>633650</v>
      </c>
      <c r="M12" s="37">
        <v>45.8</v>
      </c>
      <c r="N12" s="38">
        <f t="shared" si="10"/>
        <v>30</v>
      </c>
      <c r="O12" s="39">
        <f t="shared" si="3"/>
        <v>1374</v>
      </c>
      <c r="P12" s="40">
        <f>O12/$K12</f>
        <v>0.37565616797900264</v>
      </c>
      <c r="Q12" s="41">
        <f t="shared" si="13"/>
        <v>10</v>
      </c>
      <c r="R12" s="42">
        <f t="shared" si="11"/>
        <v>0.1</v>
      </c>
      <c r="S12" s="39">
        <f t="shared" si="12"/>
        <v>63365</v>
      </c>
      <c r="T12" s="40">
        <f>IFERROR(S12/$K12,0)</f>
        <v>17.324201662292214</v>
      </c>
      <c r="U12" s="43">
        <f t="shared" si="14"/>
        <v>0.08</v>
      </c>
      <c r="V12" s="39">
        <f t="shared" si="4"/>
        <v>25346</v>
      </c>
      <c r="W12" s="40">
        <f>V12/$K12</f>
        <v>6.9296806649168854</v>
      </c>
      <c r="X12" s="43">
        <f t="shared" si="5"/>
        <v>4.4999999999999997E-3</v>
      </c>
      <c r="Y12" s="39">
        <f>X12*$L12</f>
        <v>2851.4249999999997</v>
      </c>
      <c r="Z12" s="40">
        <f>Y12/$K12</f>
        <v>0.77958907480314954</v>
      </c>
      <c r="AA12" s="43">
        <f t="shared" si="6"/>
        <v>0.02</v>
      </c>
      <c r="AB12" s="39">
        <f>AA12*$L12</f>
        <v>12673</v>
      </c>
      <c r="AC12" s="40">
        <f>AB12/$K12</f>
        <v>3.4648403324584427</v>
      </c>
      <c r="AD12" s="37">
        <v>53.6</v>
      </c>
      <c r="AE12" s="38">
        <f t="shared" si="15"/>
        <v>0.06</v>
      </c>
      <c r="AF12" s="39">
        <f>AD12*AE12*$K12</f>
        <v>11762.841599999998</v>
      </c>
      <c r="AG12" s="37">
        <v>10.3</v>
      </c>
      <c r="AH12" s="38">
        <f t="shared" si="7"/>
        <v>0.06</v>
      </c>
      <c r="AI12" s="39">
        <f>AG12*AH12*$K12</f>
        <v>2260.3968</v>
      </c>
      <c r="AJ12" s="37">
        <v>4.3</v>
      </c>
      <c r="AK12" s="38">
        <f t="shared" si="8"/>
        <v>0.03</v>
      </c>
      <c r="AL12" s="39">
        <f>AJ12*AK12*$K12</f>
        <v>471.8304</v>
      </c>
      <c r="AM12" s="40">
        <f>SUM(AF12,AI12,AL12)/$K12</f>
        <v>3.9629999999999996</v>
      </c>
      <c r="AO12" s="45">
        <v>70</v>
      </c>
      <c r="AP12" s="40">
        <f t="shared" si="9"/>
        <v>32.836967902449693</v>
      </c>
      <c r="AQ12" s="46">
        <v>1.5</v>
      </c>
    </row>
    <row r="13" spans="2:45" x14ac:dyDescent="0.25">
      <c r="D13" s="23" t="s">
        <v>36</v>
      </c>
      <c r="E13" s="31">
        <v>700</v>
      </c>
      <c r="F13" s="32">
        <f>SUM(T13,W13,Z13,AC13,P13,AM13)</f>
        <v>35.233896270778651</v>
      </c>
      <c r="G13" s="33">
        <f t="shared" si="1"/>
        <v>254</v>
      </c>
      <c r="H13" s="33">
        <f t="shared" si="1"/>
        <v>2</v>
      </c>
      <c r="I13" s="33">
        <f t="shared" si="1"/>
        <v>8</v>
      </c>
      <c r="J13" s="47">
        <f t="shared" si="1"/>
        <v>0.9</v>
      </c>
      <c r="K13" s="35">
        <f t="shared" si="2"/>
        <v>3657.6</v>
      </c>
      <c r="L13" s="36">
        <v>677350</v>
      </c>
      <c r="M13" s="37">
        <v>49.4</v>
      </c>
      <c r="N13" s="38">
        <f t="shared" si="10"/>
        <v>30</v>
      </c>
      <c r="O13" s="39">
        <f t="shared" si="3"/>
        <v>1482</v>
      </c>
      <c r="P13" s="40">
        <f>O13/$K13</f>
        <v>0.40518372703412076</v>
      </c>
      <c r="Q13" s="41">
        <f t="shared" si="13"/>
        <v>10</v>
      </c>
      <c r="R13" s="42">
        <f>IFERROR(1/Q13,0)</f>
        <v>0.1</v>
      </c>
      <c r="S13" s="39">
        <f>IFERROR(L13*R13,0)</f>
        <v>67735</v>
      </c>
      <c r="T13" s="40">
        <f>IFERROR(S13/$K13,0)</f>
        <v>18.518974190726158</v>
      </c>
      <c r="U13" s="43">
        <f t="shared" si="14"/>
        <v>0.08</v>
      </c>
      <c r="V13" s="39">
        <f>L13*U13/2</f>
        <v>27094</v>
      </c>
      <c r="W13" s="40">
        <f>V13/$K13</f>
        <v>7.4075896762904643</v>
      </c>
      <c r="X13" s="43">
        <f t="shared" si="5"/>
        <v>4.4999999999999997E-3</v>
      </c>
      <c r="Y13" s="39">
        <f>X13*$L13</f>
        <v>3048.0749999999998</v>
      </c>
      <c r="Z13" s="40">
        <f>Y13/$K13</f>
        <v>0.83335383858267709</v>
      </c>
      <c r="AA13" s="43">
        <f t="shared" si="6"/>
        <v>0.02</v>
      </c>
      <c r="AB13" s="39">
        <f>AA13*$L13</f>
        <v>13547</v>
      </c>
      <c r="AC13" s="40">
        <f>AB13/$K13</f>
        <v>3.7037948381452321</v>
      </c>
      <c r="AD13" s="37">
        <v>59.3</v>
      </c>
      <c r="AE13" s="38">
        <f t="shared" si="15"/>
        <v>0.06</v>
      </c>
      <c r="AF13" s="39">
        <f>AD13*AE13*$K13</f>
        <v>13013.7408</v>
      </c>
      <c r="AG13" s="37">
        <v>11.1</v>
      </c>
      <c r="AH13" s="38">
        <f t="shared" si="7"/>
        <v>0.06</v>
      </c>
      <c r="AI13" s="39">
        <f>AG13*AH13*$K13</f>
        <v>2435.9615999999996</v>
      </c>
      <c r="AJ13" s="37">
        <v>4.7</v>
      </c>
      <c r="AK13" s="38">
        <f t="shared" si="8"/>
        <v>0.03</v>
      </c>
      <c r="AL13" s="39">
        <f>AJ13*AK13*$K13</f>
        <v>515.72159999999997</v>
      </c>
      <c r="AM13" s="40">
        <f>SUM(AF13,AI13,AL13)/$K13</f>
        <v>4.3650000000000002</v>
      </c>
      <c r="AO13" s="45">
        <v>70</v>
      </c>
      <c r="AP13" s="40">
        <f t="shared" si="9"/>
        <v>35.233896270778651</v>
      </c>
      <c r="AQ13" s="46">
        <v>1.5</v>
      </c>
    </row>
    <row r="14" spans="2:45" x14ac:dyDescent="0.25">
      <c r="D14" s="23" t="s">
        <v>36</v>
      </c>
      <c r="E14" s="31">
        <v>750</v>
      </c>
      <c r="F14" s="32">
        <f>SUM(T14,W14,Z14,AC14,P14,AM14)</f>
        <v>36.386639381014874</v>
      </c>
      <c r="G14" s="33">
        <f t="shared" si="1"/>
        <v>254</v>
      </c>
      <c r="H14" s="33">
        <f t="shared" si="1"/>
        <v>2</v>
      </c>
      <c r="I14" s="33">
        <f t="shared" si="1"/>
        <v>8</v>
      </c>
      <c r="J14" s="47">
        <f t="shared" si="1"/>
        <v>0.9</v>
      </c>
      <c r="K14" s="35">
        <f t="shared" si="2"/>
        <v>3657.6</v>
      </c>
      <c r="L14" s="36">
        <v>698050</v>
      </c>
      <c r="M14" s="37">
        <v>51.2</v>
      </c>
      <c r="N14" s="38">
        <f t="shared" si="10"/>
        <v>30</v>
      </c>
      <c r="O14" s="39">
        <f t="shared" si="3"/>
        <v>1536</v>
      </c>
      <c r="P14" s="40">
        <f>O14/$K14</f>
        <v>0.41994750656167978</v>
      </c>
      <c r="Q14" s="41">
        <f t="shared" si="13"/>
        <v>10</v>
      </c>
      <c r="R14" s="42">
        <f>IFERROR(1/Q14,0)</f>
        <v>0.1</v>
      </c>
      <c r="S14" s="39">
        <f>IFERROR(L14*R14,0)</f>
        <v>69805</v>
      </c>
      <c r="T14" s="40">
        <f>IFERROR(S14/$K14,0)</f>
        <v>19.084919072615925</v>
      </c>
      <c r="U14" s="43">
        <f t="shared" si="14"/>
        <v>0.08</v>
      </c>
      <c r="V14" s="39">
        <f>L14*U14/2</f>
        <v>27922</v>
      </c>
      <c r="W14" s="40">
        <f>V14/$K14</f>
        <v>7.6339676290463698</v>
      </c>
      <c r="X14" s="43">
        <f t="shared" si="5"/>
        <v>4.4999999999999997E-3</v>
      </c>
      <c r="Y14" s="39">
        <f>X14*$L14</f>
        <v>3141.2249999999999</v>
      </c>
      <c r="Z14" s="40">
        <f>Y14/$K14</f>
        <v>0.85882135826771655</v>
      </c>
      <c r="AA14" s="43">
        <f t="shared" si="6"/>
        <v>0.02</v>
      </c>
      <c r="AB14" s="39">
        <f>AA14*$L14</f>
        <v>13961</v>
      </c>
      <c r="AC14" s="40">
        <f>AB14/$K14</f>
        <v>3.8169838145231849</v>
      </c>
      <c r="AD14" s="37">
        <v>62.1</v>
      </c>
      <c r="AE14" s="38">
        <f t="shared" si="15"/>
        <v>0.06</v>
      </c>
      <c r="AF14" s="39">
        <f>AD14*AE14*$K14</f>
        <v>13628.2176</v>
      </c>
      <c r="AG14" s="37">
        <v>11.6</v>
      </c>
      <c r="AH14" s="38">
        <f t="shared" si="7"/>
        <v>0.06</v>
      </c>
      <c r="AI14" s="39">
        <f>AG14*AH14*$K14</f>
        <v>2545.6895999999997</v>
      </c>
      <c r="AJ14" s="37">
        <v>5</v>
      </c>
      <c r="AK14" s="38">
        <f t="shared" si="8"/>
        <v>0.03</v>
      </c>
      <c r="AL14" s="39">
        <f>AJ14*AK14*$K14</f>
        <v>548.64</v>
      </c>
      <c r="AM14" s="40">
        <f>SUM(AF14,AI14,AL14)/$K14</f>
        <v>4.5720000000000001</v>
      </c>
      <c r="AO14" s="45">
        <v>80</v>
      </c>
      <c r="AP14" s="40">
        <f t="shared" si="9"/>
        <v>36.386639381014874</v>
      </c>
      <c r="AQ14" s="46">
        <v>1.5</v>
      </c>
    </row>
    <row r="15" spans="2:45" x14ac:dyDescent="0.25">
      <c r="D15" s="23" t="s">
        <v>36</v>
      </c>
      <c r="E15" s="31">
        <v>900</v>
      </c>
      <c r="F15" s="32">
        <f>SUM(T15,W15,Z15,AC15,P15,AM15)</f>
        <v>40.610484634733162</v>
      </c>
      <c r="G15" s="33">
        <f t="shared" si="1"/>
        <v>254</v>
      </c>
      <c r="H15" s="33">
        <f t="shared" si="1"/>
        <v>2</v>
      </c>
      <c r="I15" s="33">
        <f t="shared" si="1"/>
        <v>8</v>
      </c>
      <c r="J15" s="47">
        <f t="shared" si="1"/>
        <v>0.9</v>
      </c>
      <c r="K15" s="35">
        <f t="shared" si="2"/>
        <v>3657.6</v>
      </c>
      <c r="L15" s="36">
        <v>778549.99999999988</v>
      </c>
      <c r="M15" s="37">
        <v>56</v>
      </c>
      <c r="N15" s="38">
        <f t="shared" si="10"/>
        <v>30</v>
      </c>
      <c r="O15" s="39">
        <f t="shared" si="3"/>
        <v>1680</v>
      </c>
      <c r="P15" s="40">
        <f>O15/$K15</f>
        <v>0.45931758530183731</v>
      </c>
      <c r="Q15" s="41">
        <f t="shared" si="13"/>
        <v>10</v>
      </c>
      <c r="R15" s="42">
        <f>IFERROR(1/Q15,0)</f>
        <v>0.1</v>
      </c>
      <c r="S15" s="39">
        <f>IFERROR(L15*R15,0)</f>
        <v>77854.999999999985</v>
      </c>
      <c r="T15" s="40">
        <f>IFERROR(S15/$K15,0)</f>
        <v>21.285815835520555</v>
      </c>
      <c r="U15" s="43">
        <f t="shared" si="14"/>
        <v>0.08</v>
      </c>
      <c r="V15" s="39">
        <f>L15*U15/2</f>
        <v>31141.999999999996</v>
      </c>
      <c r="W15" s="40">
        <f>V15/$K15</f>
        <v>8.5143263342082225</v>
      </c>
      <c r="X15" s="43">
        <f t="shared" si="5"/>
        <v>4.4999999999999997E-3</v>
      </c>
      <c r="Y15" s="39">
        <f>X15*$L15</f>
        <v>3503.474999999999</v>
      </c>
      <c r="Z15" s="40">
        <f>Y15/$K15</f>
        <v>0.9578617125984249</v>
      </c>
      <c r="AA15" s="43">
        <f t="shared" si="6"/>
        <v>0.02</v>
      </c>
      <c r="AB15" s="39">
        <f>AA15*$L15</f>
        <v>15570.999999999998</v>
      </c>
      <c r="AC15" s="40">
        <f>AB15/$K15</f>
        <v>4.2571631671041112</v>
      </c>
      <c r="AD15" s="37">
        <v>70</v>
      </c>
      <c r="AE15" s="38">
        <f t="shared" si="15"/>
        <v>0.06</v>
      </c>
      <c r="AF15" s="39">
        <f>AD15*AE15*$K15</f>
        <v>15361.92</v>
      </c>
      <c r="AG15" s="37">
        <v>12.8</v>
      </c>
      <c r="AH15" s="38">
        <f t="shared" si="7"/>
        <v>0.06</v>
      </c>
      <c r="AI15" s="39">
        <f>AG15*AH15*$K15</f>
        <v>2809.0367999999999</v>
      </c>
      <c r="AJ15" s="37">
        <v>5.6</v>
      </c>
      <c r="AK15" s="38">
        <f t="shared" si="8"/>
        <v>0.03</v>
      </c>
      <c r="AL15" s="39">
        <f>AJ15*AK15*$K15</f>
        <v>614.47679999999991</v>
      </c>
      <c r="AM15" s="40">
        <f>SUM(AF15,AI15,AL15)/$K15</f>
        <v>5.1360000000000001</v>
      </c>
      <c r="AO15" s="45">
        <v>80</v>
      </c>
      <c r="AP15" s="40">
        <f t="shared" si="9"/>
        <v>40.610484634733162</v>
      </c>
      <c r="AQ15" s="46">
        <v>1.5</v>
      </c>
    </row>
    <row r="16" spans="2:45" x14ac:dyDescent="0.25">
      <c r="D16" s="23" t="s">
        <v>36</v>
      </c>
      <c r="E16" s="31">
        <v>1100</v>
      </c>
      <c r="F16" s="32">
        <f>SUM(T16,W16,Z16,AC16,P16,AM16)</f>
        <v>46.554265255905506</v>
      </c>
      <c r="G16" s="33">
        <f t="shared" si="1"/>
        <v>254</v>
      </c>
      <c r="H16" s="33">
        <f t="shared" si="1"/>
        <v>2</v>
      </c>
      <c r="I16" s="33">
        <f t="shared" si="1"/>
        <v>8</v>
      </c>
      <c r="J16" s="47">
        <f t="shared" si="1"/>
        <v>0.9</v>
      </c>
      <c r="K16" s="35">
        <f t="shared" si="2"/>
        <v>3657.6</v>
      </c>
      <c r="L16" s="36">
        <v>893549.99999999988</v>
      </c>
      <c r="M16" s="37">
        <v>62.3</v>
      </c>
      <c r="N16" s="38">
        <f t="shared" si="10"/>
        <v>30</v>
      </c>
      <c r="O16" s="39">
        <f t="shared" si="3"/>
        <v>1869</v>
      </c>
      <c r="P16" s="40">
        <f>O16/$K16</f>
        <v>0.51099081364829402</v>
      </c>
      <c r="Q16" s="41">
        <f t="shared" si="13"/>
        <v>10</v>
      </c>
      <c r="R16" s="42">
        <f>IFERROR(1/Q16,0)</f>
        <v>0.1</v>
      </c>
      <c r="S16" s="39">
        <f>IFERROR(L16*R16,0)</f>
        <v>89355</v>
      </c>
      <c r="T16" s="40">
        <f>IFERROR(S16/$K16,0)</f>
        <v>24.429954068241472</v>
      </c>
      <c r="U16" s="43">
        <f t="shared" si="14"/>
        <v>0.08</v>
      </c>
      <c r="V16" s="39">
        <f>L16*U16/2</f>
        <v>35741.999999999993</v>
      </c>
      <c r="W16" s="40">
        <f>V16/$K16</f>
        <v>9.7719816272965865</v>
      </c>
      <c r="X16" s="43">
        <f t="shared" si="5"/>
        <v>4.4999999999999997E-3</v>
      </c>
      <c r="Y16" s="39">
        <f>X16*$L16</f>
        <v>4020.974999999999</v>
      </c>
      <c r="Z16" s="40">
        <f>Y16/$K16</f>
        <v>1.099347933070866</v>
      </c>
      <c r="AA16" s="43">
        <f t="shared" si="6"/>
        <v>0.02</v>
      </c>
      <c r="AB16" s="39">
        <f>AA16*$L16</f>
        <v>17870.999999999996</v>
      </c>
      <c r="AC16" s="40">
        <f>AB16/$K16</f>
        <v>4.8859908136482932</v>
      </c>
      <c r="AD16" s="37">
        <v>80</v>
      </c>
      <c r="AE16" s="38">
        <f t="shared" si="15"/>
        <v>0.06</v>
      </c>
      <c r="AF16" s="39">
        <f>AD16*AE16*$K16</f>
        <v>17556.48</v>
      </c>
      <c r="AG16" s="37">
        <v>14.4</v>
      </c>
      <c r="AH16" s="38">
        <f t="shared" si="7"/>
        <v>0.06</v>
      </c>
      <c r="AI16" s="39">
        <f>AG16*AH16*$K16</f>
        <v>3160.1664000000001</v>
      </c>
      <c r="AJ16" s="37">
        <v>6.4</v>
      </c>
      <c r="AK16" s="38">
        <f t="shared" si="8"/>
        <v>0.03</v>
      </c>
      <c r="AL16" s="39">
        <f>AJ16*AK16*$K16</f>
        <v>702.25919999999996</v>
      </c>
      <c r="AM16" s="40">
        <f>SUM(AF16,AI16,AL16)/$K16</f>
        <v>5.8559999999999999</v>
      </c>
      <c r="AO16" s="45">
        <v>80</v>
      </c>
      <c r="AP16" s="40">
        <f t="shared" si="9"/>
        <v>46.554265255905506</v>
      </c>
      <c r="AQ16" s="46">
        <v>1.5</v>
      </c>
    </row>
    <row r="17" spans="4:43" x14ac:dyDescent="0.25">
      <c r="D17" s="23" t="s">
        <v>36</v>
      </c>
      <c r="E17" s="31">
        <v>1150</v>
      </c>
      <c r="F17" s="32">
        <f>SUM(T17,W17,Z17,AC17,P17,AM17)</f>
        <v>47.988694389763779</v>
      </c>
      <c r="G17" s="33">
        <f t="shared" si="1"/>
        <v>254</v>
      </c>
      <c r="H17" s="33">
        <f t="shared" si="1"/>
        <v>2</v>
      </c>
      <c r="I17" s="33">
        <f t="shared" si="1"/>
        <v>8</v>
      </c>
      <c r="J17" s="47">
        <f t="shared" si="1"/>
        <v>0.9</v>
      </c>
      <c r="K17" s="35">
        <f t="shared" si="2"/>
        <v>3657.6</v>
      </c>
      <c r="L17" s="36">
        <v>921149.99999999988</v>
      </c>
      <c r="M17" s="37">
        <v>63.9</v>
      </c>
      <c r="N17" s="38">
        <f t="shared" si="10"/>
        <v>30</v>
      </c>
      <c r="O17" s="39">
        <f t="shared" si="3"/>
        <v>1917</v>
      </c>
      <c r="P17" s="40">
        <f>O17/$K17</f>
        <v>0.52411417322834652</v>
      </c>
      <c r="Q17" s="41">
        <f t="shared" si="13"/>
        <v>10</v>
      </c>
      <c r="R17" s="42">
        <f>IFERROR(1/Q17,0)</f>
        <v>0.1</v>
      </c>
      <c r="S17" s="39">
        <f>IFERROR(L17*R17,0)</f>
        <v>92115</v>
      </c>
      <c r="T17" s="40">
        <f>IFERROR(S17/$K17,0)</f>
        <v>25.184547244094489</v>
      </c>
      <c r="U17" s="43">
        <f t="shared" si="14"/>
        <v>0.08</v>
      </c>
      <c r="V17" s="39">
        <f>L17*U17/2</f>
        <v>36845.999999999993</v>
      </c>
      <c r="W17" s="40">
        <f>V17/$K17</f>
        <v>10.073818897637793</v>
      </c>
      <c r="X17" s="43">
        <f t="shared" si="5"/>
        <v>4.4999999999999997E-3</v>
      </c>
      <c r="Y17" s="39">
        <f>X17*$L17</f>
        <v>4145.1749999999993</v>
      </c>
      <c r="Z17" s="40">
        <f>Y17/$K17</f>
        <v>1.1333046259842519</v>
      </c>
      <c r="AA17" s="43">
        <f t="shared" si="6"/>
        <v>0.02</v>
      </c>
      <c r="AB17" s="39">
        <f>AA17*$L17</f>
        <v>18422.999999999996</v>
      </c>
      <c r="AC17" s="40">
        <f>AB17/$K17</f>
        <v>5.0369094488188964</v>
      </c>
      <c r="AD17" s="37">
        <v>82.5</v>
      </c>
      <c r="AE17" s="38">
        <f t="shared" si="15"/>
        <v>0.06</v>
      </c>
      <c r="AF17" s="39">
        <f>AD17*AE17*$K17</f>
        <v>18105.12</v>
      </c>
      <c r="AG17" s="37">
        <v>14.8</v>
      </c>
      <c r="AH17" s="38">
        <f t="shared" si="7"/>
        <v>0.06</v>
      </c>
      <c r="AI17" s="39">
        <f>AG17*AH17*$K17</f>
        <v>3247.9488000000001</v>
      </c>
      <c r="AJ17" s="37">
        <v>6.6</v>
      </c>
      <c r="AK17" s="38">
        <f t="shared" si="8"/>
        <v>0.03</v>
      </c>
      <c r="AL17" s="39">
        <f>AJ17*AK17*$K17</f>
        <v>724.20479999999986</v>
      </c>
      <c r="AM17" s="40">
        <f>SUM(AF17,AI17,AL17)/$K17</f>
        <v>6.0360000000000005</v>
      </c>
      <c r="AO17" s="45">
        <v>90</v>
      </c>
      <c r="AP17" s="40">
        <f t="shared" si="9"/>
        <v>47.988694389763779</v>
      </c>
      <c r="AQ17" s="46">
        <v>2</v>
      </c>
    </row>
    <row r="18" spans="4:43" x14ac:dyDescent="0.25">
      <c r="D18" s="23" t="s">
        <v>36</v>
      </c>
      <c r="E18" s="31">
        <v>1300</v>
      </c>
      <c r="F18" s="32">
        <f t="shared" ref="F18:F23" si="16">SUM(T18,W18,Z18,AC18,P18,AM18)</f>
        <v>52.190180063429572</v>
      </c>
      <c r="G18" s="33">
        <f t="shared" si="1"/>
        <v>254</v>
      </c>
      <c r="H18" s="33">
        <f t="shared" si="1"/>
        <v>2</v>
      </c>
      <c r="I18" s="33">
        <f t="shared" si="1"/>
        <v>8</v>
      </c>
      <c r="J18" s="47">
        <f t="shared" si="1"/>
        <v>0.9</v>
      </c>
      <c r="K18" s="35">
        <f t="shared" si="2"/>
        <v>3657.6</v>
      </c>
      <c r="L18" s="36">
        <v>1001649.9999999999</v>
      </c>
      <c r="M18" s="37">
        <v>68.900000000000006</v>
      </c>
      <c r="N18" s="38">
        <f t="shared" si="10"/>
        <v>30</v>
      </c>
      <c r="O18" s="39">
        <f t="shared" si="3"/>
        <v>2067</v>
      </c>
      <c r="P18" s="40">
        <f>O18/$K18</f>
        <v>0.56512467191601057</v>
      </c>
      <c r="Q18" s="41">
        <f t="shared" si="13"/>
        <v>10</v>
      </c>
      <c r="R18" s="42">
        <f t="shared" ref="R18:R23" si="17">IFERROR(1/Q18,0)</f>
        <v>0.1</v>
      </c>
      <c r="S18" s="39">
        <f t="shared" ref="S18:S23" si="18">IFERROR(L18*R18,0)</f>
        <v>100165</v>
      </c>
      <c r="T18" s="40">
        <f>IFERROR(S18/$K18,0)</f>
        <v>27.385444006999126</v>
      </c>
      <c r="U18" s="43">
        <f t="shared" si="14"/>
        <v>0.08</v>
      </c>
      <c r="V18" s="39">
        <f t="shared" ref="V18:V23" si="19">L18*U18/2</f>
        <v>40065.999999999993</v>
      </c>
      <c r="W18" s="40">
        <f>V18/$K18</f>
        <v>10.954177602799648</v>
      </c>
      <c r="X18" s="43">
        <f t="shared" si="5"/>
        <v>4.4999999999999997E-3</v>
      </c>
      <c r="Y18" s="39">
        <f>X18*$L18</f>
        <v>4507.4249999999993</v>
      </c>
      <c r="Z18" s="40">
        <f>Y18/$K18</f>
        <v>1.2323449803149604</v>
      </c>
      <c r="AA18" s="43">
        <f t="shared" si="6"/>
        <v>0.02</v>
      </c>
      <c r="AB18" s="39">
        <f>AA18*$L18</f>
        <v>20032.999999999996</v>
      </c>
      <c r="AC18" s="40">
        <f>AB18/$K18</f>
        <v>5.477088801399824</v>
      </c>
      <c r="AD18" s="37">
        <v>90</v>
      </c>
      <c r="AE18" s="38">
        <f t="shared" si="15"/>
        <v>0.06</v>
      </c>
      <c r="AF18" s="39">
        <f>AD18*AE18*$K18</f>
        <v>19751.039999999997</v>
      </c>
      <c r="AG18" s="37">
        <v>16</v>
      </c>
      <c r="AH18" s="38">
        <f t="shared" si="7"/>
        <v>0.06</v>
      </c>
      <c r="AI18" s="39">
        <f>AG18*AH18*$K18</f>
        <v>3511.2959999999998</v>
      </c>
      <c r="AJ18" s="37">
        <v>7.2</v>
      </c>
      <c r="AK18" s="38">
        <f t="shared" si="8"/>
        <v>0.03</v>
      </c>
      <c r="AL18" s="39">
        <f>AJ18*AK18*$K18</f>
        <v>790.04160000000002</v>
      </c>
      <c r="AM18" s="40">
        <f>SUM(AF18,AI18,AL18)/$K18</f>
        <v>6.5759999999999987</v>
      </c>
      <c r="AO18" s="45">
        <v>90</v>
      </c>
      <c r="AP18" s="40">
        <f t="shared" si="9"/>
        <v>52.190180063429572</v>
      </c>
      <c r="AQ18" s="46">
        <v>2</v>
      </c>
    </row>
    <row r="19" spans="4:43" x14ac:dyDescent="0.25">
      <c r="D19" s="23" t="s">
        <v>36</v>
      </c>
      <c r="E19" s="31">
        <v>1600</v>
      </c>
      <c r="F19" s="32">
        <f t="shared" si="16"/>
        <v>58.586526192038498</v>
      </c>
      <c r="G19" s="33">
        <f t="shared" si="1"/>
        <v>254</v>
      </c>
      <c r="H19" s="33">
        <f t="shared" si="1"/>
        <v>2</v>
      </c>
      <c r="I19" s="33">
        <f t="shared" si="1"/>
        <v>8</v>
      </c>
      <c r="J19" s="47">
        <f t="shared" si="1"/>
        <v>0.9</v>
      </c>
      <c r="K19" s="35">
        <f t="shared" si="2"/>
        <v>3657.6</v>
      </c>
      <c r="L19" s="36">
        <v>1118950</v>
      </c>
      <c r="M19" s="37">
        <v>76.8</v>
      </c>
      <c r="N19" s="38">
        <f t="shared" si="10"/>
        <v>30</v>
      </c>
      <c r="O19" s="39">
        <f t="shared" si="3"/>
        <v>2304</v>
      </c>
      <c r="P19" s="40">
        <f>O19/$K19</f>
        <v>0.62992125984251968</v>
      </c>
      <c r="Q19" s="41">
        <f t="shared" si="13"/>
        <v>10</v>
      </c>
      <c r="R19" s="42">
        <f t="shared" si="17"/>
        <v>0.1</v>
      </c>
      <c r="S19" s="39">
        <f t="shared" si="18"/>
        <v>111895</v>
      </c>
      <c r="T19" s="40">
        <f>IFERROR(S19/$K19,0)</f>
        <v>30.592465004374453</v>
      </c>
      <c r="U19" s="43">
        <f t="shared" si="14"/>
        <v>0.08</v>
      </c>
      <c r="V19" s="39">
        <f t="shared" si="19"/>
        <v>44758</v>
      </c>
      <c r="W19" s="40">
        <f>V19/$K19</f>
        <v>12.236986001749782</v>
      </c>
      <c r="X19" s="43">
        <f t="shared" si="5"/>
        <v>4.4999999999999997E-3</v>
      </c>
      <c r="Y19" s="39">
        <f>X19*$L19</f>
        <v>5035.2749999999996</v>
      </c>
      <c r="Z19" s="40">
        <f>Y19/$K19</f>
        <v>1.3766609251968502</v>
      </c>
      <c r="AA19" s="43">
        <f t="shared" si="6"/>
        <v>0.02</v>
      </c>
      <c r="AB19" s="39">
        <f>AA19*$L19</f>
        <v>22379</v>
      </c>
      <c r="AC19" s="40">
        <f>AB19/$K19</f>
        <v>6.1184930008748912</v>
      </c>
      <c r="AD19" s="37">
        <v>105</v>
      </c>
      <c r="AE19" s="38">
        <f t="shared" si="15"/>
        <v>0.06</v>
      </c>
      <c r="AF19" s="39">
        <f>AD19*AE19*$K19</f>
        <v>23042.879999999997</v>
      </c>
      <c r="AG19" s="37">
        <v>18</v>
      </c>
      <c r="AH19" s="38">
        <f t="shared" si="7"/>
        <v>0.06</v>
      </c>
      <c r="AI19" s="39">
        <f>AG19*AH19*$K19</f>
        <v>3950.2080000000001</v>
      </c>
      <c r="AJ19" s="37">
        <v>8.4</v>
      </c>
      <c r="AK19" s="38">
        <f t="shared" si="8"/>
        <v>0.03</v>
      </c>
      <c r="AL19" s="39">
        <f>AJ19*AK19*$K19</f>
        <v>921.71519999999998</v>
      </c>
      <c r="AM19" s="40">
        <f>SUM(AF19,AI19,AL19)/$K19</f>
        <v>7.6319999999999988</v>
      </c>
      <c r="AO19" s="45">
        <v>90</v>
      </c>
      <c r="AP19" s="40">
        <f t="shared" si="9"/>
        <v>58.586526192038498</v>
      </c>
      <c r="AQ19" s="46">
        <v>2</v>
      </c>
    </row>
    <row r="20" spans="4:43" x14ac:dyDescent="0.25">
      <c r="D20" s="23" t="s">
        <v>36</v>
      </c>
      <c r="E20" s="31">
        <v>1800</v>
      </c>
      <c r="F20" s="32">
        <f t="shared" si="16"/>
        <v>65.449324092300969</v>
      </c>
      <c r="G20" s="33">
        <f t="shared" si="1"/>
        <v>254</v>
      </c>
      <c r="H20" s="33">
        <f t="shared" si="1"/>
        <v>2</v>
      </c>
      <c r="I20" s="33">
        <f t="shared" si="1"/>
        <v>8</v>
      </c>
      <c r="J20" s="47">
        <f t="shared" si="1"/>
        <v>0.9</v>
      </c>
      <c r="K20" s="35">
        <f t="shared" si="2"/>
        <v>3657.6</v>
      </c>
      <c r="L20" s="36">
        <v>1256950</v>
      </c>
      <c r="M20" s="37">
        <v>81.099999999999994</v>
      </c>
      <c r="N20" s="38">
        <f t="shared" si="10"/>
        <v>30</v>
      </c>
      <c r="O20" s="39">
        <f t="shared" si="3"/>
        <v>2433</v>
      </c>
      <c r="P20" s="40">
        <f>O20/$K20</f>
        <v>0.66519028871391073</v>
      </c>
      <c r="Q20" s="41">
        <f t="shared" si="13"/>
        <v>10</v>
      </c>
      <c r="R20" s="42">
        <f t="shared" si="17"/>
        <v>0.1</v>
      </c>
      <c r="S20" s="39">
        <f t="shared" si="18"/>
        <v>125695</v>
      </c>
      <c r="T20" s="40">
        <f>IFERROR(S20/$K20,0)</f>
        <v>34.365430883639547</v>
      </c>
      <c r="U20" s="43">
        <f t="shared" si="14"/>
        <v>0.08</v>
      </c>
      <c r="V20" s="39">
        <f t="shared" si="19"/>
        <v>50278</v>
      </c>
      <c r="W20" s="40">
        <f>V20/$K20</f>
        <v>13.746172353455819</v>
      </c>
      <c r="X20" s="43">
        <f t="shared" si="5"/>
        <v>4.4999999999999997E-3</v>
      </c>
      <c r="Y20" s="39">
        <f>X20*$L20</f>
        <v>5656.2749999999996</v>
      </c>
      <c r="Z20" s="40">
        <f>Y20/$K20</f>
        <v>1.5464443897637794</v>
      </c>
      <c r="AA20" s="43">
        <f t="shared" si="6"/>
        <v>0.02</v>
      </c>
      <c r="AB20" s="39">
        <f>AA20*$L20</f>
        <v>25139</v>
      </c>
      <c r="AC20" s="40">
        <f>AB20/$K20</f>
        <v>6.8730861767279094</v>
      </c>
      <c r="AD20" s="37">
        <v>113.6</v>
      </c>
      <c r="AE20" s="38">
        <f t="shared" si="15"/>
        <v>0.06</v>
      </c>
      <c r="AF20" s="39">
        <f>AD20*AE20*$K20</f>
        <v>24930.2016</v>
      </c>
      <c r="AG20" s="37">
        <v>19.399999999999999</v>
      </c>
      <c r="AH20" s="38">
        <f t="shared" si="7"/>
        <v>0.06</v>
      </c>
      <c r="AI20" s="39">
        <f>AG20*AH20*$K20</f>
        <v>4257.4463999999998</v>
      </c>
      <c r="AJ20" s="44">
        <v>9.1</v>
      </c>
      <c r="AK20" s="38">
        <f t="shared" si="8"/>
        <v>0.03</v>
      </c>
      <c r="AL20" s="39">
        <f>AJ20*AK20*$K20</f>
        <v>998.5247999999998</v>
      </c>
      <c r="AM20" s="40">
        <f>SUM(AF20,AI20,AL20)/$K20</f>
        <v>8.2530000000000001</v>
      </c>
      <c r="AO20" s="45">
        <v>90</v>
      </c>
      <c r="AP20" s="40">
        <f t="shared" si="9"/>
        <v>65.449324092300969</v>
      </c>
      <c r="AQ20" s="46">
        <v>2</v>
      </c>
    </row>
    <row r="21" spans="4:43" x14ac:dyDescent="0.25">
      <c r="D21" s="23" t="s">
        <v>36</v>
      </c>
      <c r="E21" s="31">
        <v>2000</v>
      </c>
      <c r="F21" s="32">
        <f t="shared" si="16"/>
        <v>72.312121992563434</v>
      </c>
      <c r="G21" s="33">
        <f t="shared" si="1"/>
        <v>254</v>
      </c>
      <c r="H21" s="33">
        <f t="shared" si="1"/>
        <v>2</v>
      </c>
      <c r="I21" s="33">
        <f t="shared" si="1"/>
        <v>8</v>
      </c>
      <c r="J21" s="47">
        <f t="shared" si="1"/>
        <v>0.9</v>
      </c>
      <c r="K21" s="35">
        <f t="shared" si="2"/>
        <v>3657.6</v>
      </c>
      <c r="L21" s="36">
        <v>1394950</v>
      </c>
      <c r="M21" s="37">
        <v>85.4</v>
      </c>
      <c r="N21" s="38">
        <f t="shared" si="10"/>
        <v>30</v>
      </c>
      <c r="O21" s="39">
        <f t="shared" si="3"/>
        <v>2562</v>
      </c>
      <c r="P21" s="40">
        <f>O21/$K21</f>
        <v>0.70045931758530189</v>
      </c>
      <c r="Q21" s="41">
        <f t="shared" si="13"/>
        <v>10</v>
      </c>
      <c r="R21" s="42">
        <f t="shared" si="17"/>
        <v>0.1</v>
      </c>
      <c r="S21" s="39">
        <f t="shared" si="18"/>
        <v>139495</v>
      </c>
      <c r="T21" s="40">
        <f>IFERROR(S21/$K21,0)</f>
        <v>38.138396762904641</v>
      </c>
      <c r="U21" s="43">
        <f t="shared" si="14"/>
        <v>0.08</v>
      </c>
      <c r="V21" s="39">
        <f t="shared" si="19"/>
        <v>55798</v>
      </c>
      <c r="W21" s="40">
        <f>V21/$K21</f>
        <v>15.255358705161855</v>
      </c>
      <c r="X21" s="43">
        <f t="shared" si="5"/>
        <v>4.4999999999999997E-3</v>
      </c>
      <c r="Y21" s="39">
        <f>X21*$L21</f>
        <v>6277.2749999999996</v>
      </c>
      <c r="Z21" s="40">
        <f>Y21/$K21</f>
        <v>1.7162278543307086</v>
      </c>
      <c r="AA21" s="43">
        <f t="shared" si="6"/>
        <v>0.02</v>
      </c>
      <c r="AB21" s="39">
        <f>AA21*$L21</f>
        <v>27899</v>
      </c>
      <c r="AC21" s="40">
        <f>AB21/$K21</f>
        <v>7.6276793525809277</v>
      </c>
      <c r="AD21" s="37">
        <v>122.1</v>
      </c>
      <c r="AE21" s="38">
        <f t="shared" si="15"/>
        <v>0.06</v>
      </c>
      <c r="AF21" s="39">
        <f>AD21*AE21*$K21</f>
        <v>26795.577599999997</v>
      </c>
      <c r="AG21" s="37">
        <v>20.9</v>
      </c>
      <c r="AH21" s="38">
        <f t="shared" si="7"/>
        <v>0.06</v>
      </c>
      <c r="AI21" s="39">
        <f>AG21*AH21*$K21</f>
        <v>4586.6303999999991</v>
      </c>
      <c r="AJ21" s="37">
        <v>9.8000000000000007</v>
      </c>
      <c r="AK21" s="38">
        <f t="shared" si="8"/>
        <v>0.03</v>
      </c>
      <c r="AL21" s="39">
        <f>AJ21*AK21*$K21</f>
        <v>1075.3344</v>
      </c>
      <c r="AM21" s="40">
        <f>SUM(AF21,AI21,AL21)/$K21</f>
        <v>8.8739999999999988</v>
      </c>
      <c r="AO21" s="45">
        <v>90</v>
      </c>
      <c r="AP21" s="40">
        <f t="shared" si="9"/>
        <v>72.312121992563434</v>
      </c>
      <c r="AQ21" s="46">
        <v>2</v>
      </c>
    </row>
    <row r="22" spans="4:43" x14ac:dyDescent="0.25">
      <c r="D22" s="23" t="s">
        <v>36</v>
      </c>
      <c r="E22" s="31">
        <v>2300</v>
      </c>
      <c r="F22" s="32">
        <f t="shared" si="16"/>
        <v>82.607689577865273</v>
      </c>
      <c r="G22" s="33">
        <f t="shared" si="1"/>
        <v>254</v>
      </c>
      <c r="H22" s="33">
        <f t="shared" si="1"/>
        <v>2</v>
      </c>
      <c r="I22" s="33">
        <f t="shared" si="1"/>
        <v>8</v>
      </c>
      <c r="J22" s="47">
        <f t="shared" si="1"/>
        <v>0.9</v>
      </c>
      <c r="K22" s="35">
        <f t="shared" si="2"/>
        <v>3657.6</v>
      </c>
      <c r="L22" s="36">
        <v>1601949.9999999998</v>
      </c>
      <c r="M22" s="37">
        <v>92.2</v>
      </c>
      <c r="N22" s="38">
        <f t="shared" si="10"/>
        <v>30</v>
      </c>
      <c r="O22" s="39">
        <f t="shared" si="3"/>
        <v>2766</v>
      </c>
      <c r="P22" s="40">
        <f>O22/$K22</f>
        <v>0.75623359580052496</v>
      </c>
      <c r="Q22" s="41">
        <f t="shared" si="13"/>
        <v>10</v>
      </c>
      <c r="R22" s="42">
        <f t="shared" si="17"/>
        <v>0.1</v>
      </c>
      <c r="S22" s="39">
        <f t="shared" si="18"/>
        <v>160195</v>
      </c>
      <c r="T22" s="40">
        <f>IFERROR(S22/$K22,0)</f>
        <v>43.797845581802278</v>
      </c>
      <c r="U22" s="43">
        <f t="shared" si="14"/>
        <v>0.08</v>
      </c>
      <c r="V22" s="39">
        <f t="shared" si="19"/>
        <v>64077.999999999993</v>
      </c>
      <c r="W22" s="40">
        <f>V22/$K22</f>
        <v>17.519138232720909</v>
      </c>
      <c r="X22" s="43">
        <f t="shared" si="5"/>
        <v>4.4999999999999997E-3</v>
      </c>
      <c r="Y22" s="39">
        <f>X22*$L22</f>
        <v>7208.7749999999987</v>
      </c>
      <c r="Z22" s="40">
        <f>Y22/$K22</f>
        <v>1.9709030511811021</v>
      </c>
      <c r="AA22" s="43">
        <f t="shared" si="6"/>
        <v>0.02</v>
      </c>
      <c r="AB22" s="39">
        <f>AA22*$L22</f>
        <v>32038.999999999996</v>
      </c>
      <c r="AC22" s="40">
        <f>AB22/$K22</f>
        <v>8.7595691163604545</v>
      </c>
      <c r="AD22" s="37">
        <v>135</v>
      </c>
      <c r="AE22" s="38">
        <f t="shared" si="15"/>
        <v>0.06</v>
      </c>
      <c r="AF22" s="39">
        <f>AD22*AE22*$K22</f>
        <v>29626.559999999998</v>
      </c>
      <c r="AG22" s="37">
        <v>23</v>
      </c>
      <c r="AH22" s="38">
        <f t="shared" si="7"/>
        <v>0.06</v>
      </c>
      <c r="AI22" s="39">
        <f>AG22*AH22*$K22</f>
        <v>5047.4879999999994</v>
      </c>
      <c r="AJ22" s="37">
        <v>10.8</v>
      </c>
      <c r="AK22" s="38">
        <f t="shared" si="8"/>
        <v>0.03</v>
      </c>
      <c r="AL22" s="39">
        <f>AJ22*AK22*$K22</f>
        <v>1185.0624</v>
      </c>
      <c r="AM22" s="40">
        <f>SUM(AF22,AI22,AL22)/$K22</f>
        <v>9.8040000000000003</v>
      </c>
      <c r="AO22" s="45">
        <v>90</v>
      </c>
      <c r="AP22" s="40">
        <f t="shared" si="9"/>
        <v>82.607689577865273</v>
      </c>
      <c r="AQ22" s="46">
        <v>2</v>
      </c>
    </row>
    <row r="23" spans="4:43" x14ac:dyDescent="0.25">
      <c r="D23" s="23" t="s">
        <v>36</v>
      </c>
      <c r="E23" s="31">
        <v>2700</v>
      </c>
      <c r="F23" s="32">
        <f t="shared" si="16"/>
        <v>96.356360290901137</v>
      </c>
      <c r="G23" s="33">
        <f t="shared" si="1"/>
        <v>254</v>
      </c>
      <c r="H23" s="33">
        <f t="shared" si="1"/>
        <v>2</v>
      </c>
      <c r="I23" s="33">
        <f t="shared" si="1"/>
        <v>8</v>
      </c>
      <c r="J23" s="47">
        <f t="shared" si="1"/>
        <v>0.9</v>
      </c>
      <c r="K23" s="35">
        <f t="shared" si="2"/>
        <v>3657.6</v>
      </c>
      <c r="L23" s="36">
        <v>1875649.9999999998</v>
      </c>
      <c r="M23" s="37">
        <v>99.4</v>
      </c>
      <c r="N23" s="38">
        <f t="shared" si="10"/>
        <v>30</v>
      </c>
      <c r="O23" s="39">
        <f t="shared" si="3"/>
        <v>2982</v>
      </c>
      <c r="P23" s="40">
        <f>O23/$K23</f>
        <v>0.81528871391076119</v>
      </c>
      <c r="Q23" s="41">
        <f t="shared" si="13"/>
        <v>10</v>
      </c>
      <c r="R23" s="42">
        <f t="shared" si="17"/>
        <v>0.1</v>
      </c>
      <c r="S23" s="39">
        <f t="shared" si="18"/>
        <v>187565</v>
      </c>
      <c r="T23" s="40">
        <f>IFERROR(S23/$K23,0)</f>
        <v>51.28089457567804</v>
      </c>
      <c r="U23" s="43">
        <f t="shared" si="14"/>
        <v>0.08</v>
      </c>
      <c r="V23" s="39">
        <f t="shared" si="19"/>
        <v>75025.999999999985</v>
      </c>
      <c r="W23" s="40">
        <f>V23/$K23</f>
        <v>20.512357830271213</v>
      </c>
      <c r="X23" s="43">
        <f t="shared" si="5"/>
        <v>4.4999999999999997E-3</v>
      </c>
      <c r="Y23" s="39">
        <f>X23*$L23</f>
        <v>8440.4249999999975</v>
      </c>
      <c r="Z23" s="40">
        <f>Y23/$K23</f>
        <v>2.3076402559055111</v>
      </c>
      <c r="AA23" s="43">
        <f t="shared" si="6"/>
        <v>0.02</v>
      </c>
      <c r="AB23" s="39">
        <f>AA23*$L23</f>
        <v>37512.999999999993</v>
      </c>
      <c r="AC23" s="40">
        <f>AB23/$K23</f>
        <v>10.256178915135607</v>
      </c>
      <c r="AD23" s="37">
        <v>155</v>
      </c>
      <c r="AE23" s="38">
        <f t="shared" si="15"/>
        <v>0.06</v>
      </c>
      <c r="AF23" s="39">
        <f>AD23*AE23*$K23</f>
        <v>34015.679999999993</v>
      </c>
      <c r="AG23" s="37">
        <v>25.2</v>
      </c>
      <c r="AH23" s="38">
        <f t="shared" si="7"/>
        <v>0.06</v>
      </c>
      <c r="AI23" s="39">
        <f>AG23*AH23*$K23</f>
        <v>5530.2911999999997</v>
      </c>
      <c r="AJ23" s="37">
        <v>12.4</v>
      </c>
      <c r="AK23" s="38">
        <f t="shared" si="8"/>
        <v>0.03</v>
      </c>
      <c r="AL23" s="39">
        <f>AJ23*AK23*$K23</f>
        <v>1360.6271999999999</v>
      </c>
      <c r="AM23" s="40">
        <f>SUM(AF23,AI23,AL23)/$K23</f>
        <v>11.183999999999999</v>
      </c>
      <c r="AO23" s="45">
        <v>90</v>
      </c>
      <c r="AP23" s="40">
        <f t="shared" si="9"/>
        <v>96.356360290901137</v>
      </c>
      <c r="AQ23" s="46">
        <v>2</v>
      </c>
    </row>
    <row r="24" spans="4:43" x14ac:dyDescent="0.25">
      <c r="N24" s="38"/>
    </row>
    <row r="25" spans="4:43" x14ac:dyDescent="0.25">
      <c r="D25" s="23" t="s">
        <v>36</v>
      </c>
      <c r="E25" s="31">
        <v>3200</v>
      </c>
      <c r="F25" s="32">
        <f t="shared" ref="F25:F28" si="20">SUM(T25,W25,Z25,AC25,P25,AM25)</f>
        <v>111.06226093613299</v>
      </c>
      <c r="G25" s="33">
        <f>G$3</f>
        <v>254</v>
      </c>
      <c r="H25" s="33">
        <f>H$3</f>
        <v>2</v>
      </c>
      <c r="I25" s="33">
        <f>I$3</f>
        <v>8</v>
      </c>
      <c r="J25" s="47">
        <f>J$3</f>
        <v>0.9</v>
      </c>
      <c r="K25" s="35">
        <f t="shared" ref="K25:K35" si="21">G25*H25*I25*J25</f>
        <v>3657.6</v>
      </c>
      <c r="L25" s="36">
        <f>1900000*1.15</f>
        <v>2185000</v>
      </c>
      <c r="M25" s="37">
        <v>105</v>
      </c>
      <c r="N25" s="38">
        <f>N$3</f>
        <v>30</v>
      </c>
      <c r="O25" s="39">
        <f t="shared" ref="O25:O37" si="22">M25*N25</f>
        <v>3150</v>
      </c>
      <c r="P25" s="40">
        <f t="shared" ref="P25:P37" si="23">O25/$K25</f>
        <v>0.86122047244094491</v>
      </c>
      <c r="Q25" s="41">
        <f>Q$3</f>
        <v>10</v>
      </c>
      <c r="R25" s="42">
        <f t="shared" ref="R25:R37" si="24">IFERROR(1/Q25,0)</f>
        <v>0.1</v>
      </c>
      <c r="S25" s="39">
        <f t="shared" ref="S25:S30" si="25">IFERROR(L25*R25,0)</f>
        <v>218500</v>
      </c>
      <c r="T25" s="40">
        <f t="shared" ref="T25:T37" si="26">IFERROR(S25/$K25,0)</f>
        <v>59.73862642169729</v>
      </c>
      <c r="U25" s="43">
        <f>U$3</f>
        <v>0.08</v>
      </c>
      <c r="V25" s="39">
        <f t="shared" ref="V25:V30" si="27">L25*U25/2</f>
        <v>87400</v>
      </c>
      <c r="W25" s="40">
        <f t="shared" ref="W25:W37" si="28">V25/$K25</f>
        <v>23.895450568678914</v>
      </c>
      <c r="X25" s="43">
        <f>X$3</f>
        <v>4.4999999999999997E-3</v>
      </c>
      <c r="Y25" s="39">
        <f t="shared" ref="Y25:Y37" si="29">X25*$L25</f>
        <v>9832.5</v>
      </c>
      <c r="Z25" s="40">
        <f t="shared" ref="Z25:Z37" si="30">Y25/$K25</f>
        <v>2.6882381889763782</v>
      </c>
      <c r="AA25" s="43">
        <f>AA$3</f>
        <v>0.02</v>
      </c>
      <c r="AB25" s="39">
        <f t="shared" ref="AB25:AB37" si="31">AA25*$L25</f>
        <v>43700</v>
      </c>
      <c r="AC25" s="40">
        <f t="shared" ref="AC25:AC37" si="32">AB25/$K25</f>
        <v>11.947725284339457</v>
      </c>
      <c r="AD25" s="37">
        <v>165</v>
      </c>
      <c r="AE25" s="38">
        <f>AE$3</f>
        <v>0.06</v>
      </c>
      <c r="AF25" s="39">
        <f t="shared" ref="AF25" si="33">AD25*AE25*$K25</f>
        <v>36210.239999999998</v>
      </c>
      <c r="AG25" s="37">
        <v>27.1</v>
      </c>
      <c r="AH25" s="38">
        <f>AH$3</f>
        <v>0.06</v>
      </c>
      <c r="AI25" s="39">
        <f t="shared" ref="AI25:AI37" si="34">AG25*AH25*$K25</f>
        <v>5947.2575999999999</v>
      </c>
      <c r="AJ25" s="37">
        <v>13.5</v>
      </c>
      <c r="AK25" s="38">
        <f>AK$3</f>
        <v>0.03</v>
      </c>
      <c r="AL25" s="39">
        <f t="shared" ref="AL25:AL37" si="35">AJ25*AK25*$K25</f>
        <v>1481.3279999999997</v>
      </c>
      <c r="AM25" s="40">
        <f t="shared" ref="AM25:AM37" si="36">SUM(AF25,AI25,AL25)/$K25</f>
        <v>11.930999999999999</v>
      </c>
      <c r="AO25" s="45">
        <v>90</v>
      </c>
      <c r="AP25" s="40">
        <f t="shared" si="9"/>
        <v>111.06226093613299</v>
      </c>
      <c r="AQ25" s="46">
        <v>2</v>
      </c>
    </row>
    <row r="26" spans="4:43" x14ac:dyDescent="0.25">
      <c r="D26" s="23" t="s">
        <v>36</v>
      </c>
      <c r="E26" s="31" t="s">
        <v>37</v>
      </c>
      <c r="F26" s="32">
        <f t="shared" si="20"/>
        <v>27.731662018810148</v>
      </c>
      <c r="G26" s="33">
        <f>G$3</f>
        <v>254</v>
      </c>
      <c r="H26" s="33">
        <f>H$3</f>
        <v>2</v>
      </c>
      <c r="I26" s="33">
        <f>I$3</f>
        <v>8</v>
      </c>
      <c r="J26" s="47">
        <f>J$3</f>
        <v>0.9</v>
      </c>
      <c r="K26" s="35">
        <f t="shared" si="21"/>
        <v>3657.6</v>
      </c>
      <c r="L26" s="36">
        <v>553150</v>
      </c>
      <c r="M26" s="37">
        <v>40.700000000000003</v>
      </c>
      <c r="N26" s="38">
        <f>N$3</f>
        <v>30</v>
      </c>
      <c r="O26" s="39">
        <f t="shared" si="22"/>
        <v>1221</v>
      </c>
      <c r="P26" s="40">
        <f t="shared" si="23"/>
        <v>0.33382545931758528</v>
      </c>
      <c r="Q26" s="41">
        <f>Q$3</f>
        <v>10</v>
      </c>
      <c r="R26" s="42">
        <f t="shared" si="24"/>
        <v>0.1</v>
      </c>
      <c r="S26" s="39">
        <f t="shared" si="25"/>
        <v>55315</v>
      </c>
      <c r="T26" s="40">
        <f t="shared" si="26"/>
        <v>15.123304899387577</v>
      </c>
      <c r="U26" s="43">
        <f>U$3</f>
        <v>0.08</v>
      </c>
      <c r="V26" s="39">
        <f t="shared" si="27"/>
        <v>22126</v>
      </c>
      <c r="W26" s="40">
        <f t="shared" si="28"/>
        <v>6.049321959755031</v>
      </c>
      <c r="X26" s="43">
        <f>X$3</f>
        <v>4.4999999999999997E-3</v>
      </c>
      <c r="Y26" s="39">
        <f t="shared" si="29"/>
        <v>2489.1749999999997</v>
      </c>
      <c r="Z26" s="40">
        <f t="shared" si="30"/>
        <v>0.68054872047244086</v>
      </c>
      <c r="AA26" s="43">
        <f>AA$3</f>
        <v>0.02</v>
      </c>
      <c r="AB26" s="39">
        <f t="shared" si="31"/>
        <v>11063</v>
      </c>
      <c r="AC26" s="40">
        <f t="shared" si="32"/>
        <v>3.0246609798775155</v>
      </c>
      <c r="AD26" s="37">
        <v>33.299999999999997</v>
      </c>
      <c r="AE26" s="38">
        <f>AE$3</f>
        <v>0.06</v>
      </c>
      <c r="AF26" s="39">
        <f>AD26*AE26*$K26</f>
        <v>7307.8847999999989</v>
      </c>
      <c r="AG26" s="37">
        <v>7.4</v>
      </c>
      <c r="AH26" s="38">
        <f>AH$3</f>
        <v>0.06</v>
      </c>
      <c r="AI26" s="39">
        <f t="shared" si="34"/>
        <v>1623.9744000000001</v>
      </c>
      <c r="AJ26" s="37">
        <v>2.6</v>
      </c>
      <c r="AK26" s="38">
        <f>AK$3</f>
        <v>0.03</v>
      </c>
      <c r="AL26" s="39">
        <f t="shared" si="35"/>
        <v>285.2928</v>
      </c>
      <c r="AM26" s="40">
        <f t="shared" si="36"/>
        <v>2.5199999999999996</v>
      </c>
      <c r="AO26" s="45">
        <v>90</v>
      </c>
      <c r="AP26" s="40">
        <f t="shared" si="9"/>
        <v>27.731662018810148</v>
      </c>
      <c r="AQ26" s="46">
        <v>2</v>
      </c>
    </row>
    <row r="27" spans="4:43" x14ac:dyDescent="0.25">
      <c r="D27" s="23" t="s">
        <v>36</v>
      </c>
      <c r="E27" s="31" t="s">
        <v>38</v>
      </c>
      <c r="F27" s="32">
        <f t="shared" si="20"/>
        <v>38.56842054215879</v>
      </c>
      <c r="G27" s="33">
        <f>G$3</f>
        <v>254</v>
      </c>
      <c r="H27" s="33">
        <f>H$3</f>
        <v>2</v>
      </c>
      <c r="I27" s="33">
        <f>I$3</f>
        <v>8</v>
      </c>
      <c r="J27" s="47">
        <f>J$3</f>
        <v>0.9</v>
      </c>
      <c r="K27" s="35">
        <f t="shared" si="21"/>
        <v>3657.6</v>
      </c>
      <c r="L27" s="36">
        <v>754539.14999999991</v>
      </c>
      <c r="M27" s="37">
        <v>56.1</v>
      </c>
      <c r="N27" s="38">
        <f>N$3</f>
        <v>30</v>
      </c>
      <c r="O27" s="39">
        <f t="shared" si="22"/>
        <v>1683</v>
      </c>
      <c r="P27" s="40">
        <f t="shared" si="23"/>
        <v>0.46013779527559057</v>
      </c>
      <c r="Q27" s="41">
        <f>Q$3</f>
        <v>10</v>
      </c>
      <c r="R27" s="42">
        <f t="shared" si="24"/>
        <v>0.1</v>
      </c>
      <c r="S27" s="39">
        <f t="shared" si="25"/>
        <v>75453.914999999994</v>
      </c>
      <c r="T27" s="40">
        <f t="shared" si="26"/>
        <v>20.629351213910759</v>
      </c>
      <c r="U27" s="43">
        <f>U$3</f>
        <v>0.08</v>
      </c>
      <c r="V27" s="39">
        <f t="shared" si="27"/>
        <v>30181.565999999995</v>
      </c>
      <c r="W27" s="40">
        <f t="shared" si="28"/>
        <v>8.2517404855643033</v>
      </c>
      <c r="X27" s="43">
        <f>X$3</f>
        <v>4.4999999999999997E-3</v>
      </c>
      <c r="Y27" s="39">
        <f t="shared" si="29"/>
        <v>3395.4261749999991</v>
      </c>
      <c r="Z27" s="40">
        <f t="shared" si="30"/>
        <v>0.9283208046259841</v>
      </c>
      <c r="AA27" s="43">
        <f>AA$3</f>
        <v>0.02</v>
      </c>
      <c r="AB27" s="39">
        <f t="shared" si="31"/>
        <v>15090.782999999998</v>
      </c>
      <c r="AC27" s="40">
        <f t="shared" si="32"/>
        <v>4.1258702427821516</v>
      </c>
      <c r="AD27" s="37">
        <v>56.2</v>
      </c>
      <c r="AE27" s="38">
        <f>AE$3</f>
        <v>0.06</v>
      </c>
      <c r="AF27" s="39">
        <f>AD27*AE27*$K27</f>
        <v>12333.4272</v>
      </c>
      <c r="AG27" s="37">
        <v>11.2</v>
      </c>
      <c r="AH27" s="38">
        <f>AH$3</f>
        <v>0.06</v>
      </c>
      <c r="AI27" s="39">
        <f t="shared" si="34"/>
        <v>2457.9071999999996</v>
      </c>
      <c r="AJ27" s="37">
        <v>4.3</v>
      </c>
      <c r="AK27" s="38">
        <f>AK$3</f>
        <v>0.03</v>
      </c>
      <c r="AL27" s="39">
        <f t="shared" si="35"/>
        <v>471.8304</v>
      </c>
      <c r="AM27" s="40">
        <f t="shared" si="36"/>
        <v>4.173</v>
      </c>
      <c r="AO27" s="45">
        <v>90</v>
      </c>
      <c r="AP27" s="40">
        <f t="shared" si="9"/>
        <v>38.56842054215879</v>
      </c>
      <c r="AQ27" s="46">
        <v>2</v>
      </c>
    </row>
    <row r="28" spans="4:43" x14ac:dyDescent="0.25">
      <c r="D28" s="23" t="s">
        <v>36</v>
      </c>
      <c r="E28" s="31" t="s">
        <v>39</v>
      </c>
      <c r="F28" s="32">
        <f t="shared" si="20"/>
        <v>48.336260553368326</v>
      </c>
      <c r="G28" s="33">
        <f>G$3</f>
        <v>254</v>
      </c>
      <c r="H28" s="33">
        <f>H$3</f>
        <v>2</v>
      </c>
      <c r="I28" s="33">
        <f>I$3</f>
        <v>8</v>
      </c>
      <c r="J28" s="47">
        <f>J$3</f>
        <v>0.9</v>
      </c>
      <c r="K28" s="35">
        <f t="shared" si="21"/>
        <v>3657.6</v>
      </c>
      <c r="L28" s="36">
        <f>815000*1.15</f>
        <v>937249.99999999988</v>
      </c>
      <c r="M28" s="37">
        <v>69.2</v>
      </c>
      <c r="N28" s="38">
        <f>N$3</f>
        <v>30</v>
      </c>
      <c r="O28" s="39">
        <f t="shared" si="22"/>
        <v>2076</v>
      </c>
      <c r="P28" s="40">
        <f t="shared" si="23"/>
        <v>0.56758530183727041</v>
      </c>
      <c r="Q28" s="41">
        <f>Q$3</f>
        <v>10</v>
      </c>
      <c r="R28" s="42">
        <f t="shared" si="24"/>
        <v>0.1</v>
      </c>
      <c r="S28" s="39">
        <f t="shared" si="25"/>
        <v>93725</v>
      </c>
      <c r="T28" s="40">
        <f t="shared" si="26"/>
        <v>25.624726596675416</v>
      </c>
      <c r="U28" s="43">
        <f>U$3</f>
        <v>0.08</v>
      </c>
      <c r="V28" s="39">
        <f t="shared" si="27"/>
        <v>37489.999999999993</v>
      </c>
      <c r="W28" s="40">
        <f t="shared" si="28"/>
        <v>10.249890638670164</v>
      </c>
      <c r="X28" s="43">
        <f>X$3</f>
        <v>4.4999999999999997E-3</v>
      </c>
      <c r="Y28" s="39">
        <f t="shared" si="29"/>
        <v>4217.6249999999991</v>
      </c>
      <c r="Z28" s="40">
        <f t="shared" si="30"/>
        <v>1.1531126968503935</v>
      </c>
      <c r="AA28" s="43">
        <f>AA$3</f>
        <v>0.02</v>
      </c>
      <c r="AB28" s="39">
        <f t="shared" si="31"/>
        <v>18744.999999999996</v>
      </c>
      <c r="AC28" s="40">
        <f t="shared" si="32"/>
        <v>5.1249453193350822</v>
      </c>
      <c r="AD28" s="37">
        <v>74.400000000000006</v>
      </c>
      <c r="AE28" s="38">
        <f>AE$3</f>
        <v>0.06</v>
      </c>
      <c r="AF28" s="39">
        <f t="shared" ref="AF28:AF37" si="37">AD28*AE28*$K28</f>
        <v>16327.526400000001</v>
      </c>
      <c r="AG28" s="37">
        <v>16.100000000000001</v>
      </c>
      <c r="AH28" s="38">
        <f>AH$3</f>
        <v>0.06</v>
      </c>
      <c r="AI28" s="39">
        <f t="shared" si="34"/>
        <v>3533.2416000000003</v>
      </c>
      <c r="AJ28" s="37">
        <v>6.2</v>
      </c>
      <c r="AK28" s="38">
        <f>AK$3</f>
        <v>0.03</v>
      </c>
      <c r="AL28" s="39">
        <f t="shared" si="35"/>
        <v>680.31359999999995</v>
      </c>
      <c r="AM28" s="40">
        <f t="shared" si="36"/>
        <v>5.6160000000000005</v>
      </c>
      <c r="AO28" s="45">
        <v>90</v>
      </c>
      <c r="AP28" s="40">
        <f t="shared" si="9"/>
        <v>48.336260553368326</v>
      </c>
      <c r="AQ28" s="46">
        <v>2</v>
      </c>
    </row>
    <row r="29" spans="4:43" x14ac:dyDescent="0.25">
      <c r="D29" s="23" t="s">
        <v>40</v>
      </c>
      <c r="E29" s="31" t="s">
        <v>41</v>
      </c>
      <c r="F29" s="32">
        <f t="shared" ref="F29:F37" si="38">SUM(T29,W29,Z29,AC29,P29,AM29)</f>
        <v>2.6930651246719162</v>
      </c>
      <c r="G29" s="33">
        <f>G$3</f>
        <v>254</v>
      </c>
      <c r="H29" s="33">
        <f>H$3</f>
        <v>2</v>
      </c>
      <c r="I29" s="33">
        <f>I$3</f>
        <v>8</v>
      </c>
      <c r="J29" s="47">
        <f>J$3</f>
        <v>0.9</v>
      </c>
      <c r="K29" s="35">
        <f t="shared" si="21"/>
        <v>3657.6</v>
      </c>
      <c r="L29" s="36">
        <f>45000*1.15</f>
        <v>51749.999999999993</v>
      </c>
      <c r="M29" s="37">
        <v>8</v>
      </c>
      <c r="N29" s="38">
        <f>N$3</f>
        <v>30</v>
      </c>
      <c r="O29" s="39">
        <f t="shared" si="22"/>
        <v>240</v>
      </c>
      <c r="P29" s="40">
        <f t="shared" si="23"/>
        <v>6.5616797900262466E-2</v>
      </c>
      <c r="Q29" s="41">
        <f>Q$3</f>
        <v>10</v>
      </c>
      <c r="R29" s="42">
        <f t="shared" si="24"/>
        <v>0.1</v>
      </c>
      <c r="S29" s="39">
        <f t="shared" si="25"/>
        <v>5175</v>
      </c>
      <c r="T29" s="40">
        <f t="shared" si="26"/>
        <v>1.4148622047244095</v>
      </c>
      <c r="U29" s="43">
        <f>U$3</f>
        <v>0.08</v>
      </c>
      <c r="V29" s="39">
        <f t="shared" si="27"/>
        <v>2069.9999999999995</v>
      </c>
      <c r="W29" s="40">
        <f t="shared" si="28"/>
        <v>0.56594488188976366</v>
      </c>
      <c r="X29" s="43">
        <f>X$3</f>
        <v>4.4999999999999997E-3</v>
      </c>
      <c r="Y29" s="39">
        <f t="shared" si="29"/>
        <v>232.87499999999994</v>
      </c>
      <c r="Z29" s="40">
        <f t="shared" si="30"/>
        <v>6.3668799212598409E-2</v>
      </c>
      <c r="AA29" s="43">
        <f>AA$3</f>
        <v>0.02</v>
      </c>
      <c r="AB29" s="39">
        <f t="shared" si="31"/>
        <v>1034.9999999999998</v>
      </c>
      <c r="AC29" s="40">
        <f t="shared" si="32"/>
        <v>0.28297244094488183</v>
      </c>
      <c r="AD29" s="37">
        <v>3</v>
      </c>
      <c r="AE29" s="38">
        <f>AE$3</f>
        <v>0.06</v>
      </c>
      <c r="AF29" s="39">
        <f t="shared" si="37"/>
        <v>658.36799999999994</v>
      </c>
      <c r="AG29" s="37">
        <v>2</v>
      </c>
      <c r="AH29" s="38">
        <f>AH$3</f>
        <v>0.06</v>
      </c>
      <c r="AI29" s="39">
        <f t="shared" si="34"/>
        <v>438.91199999999998</v>
      </c>
      <c r="AJ29" s="37">
        <v>0</v>
      </c>
      <c r="AK29" s="38">
        <f>AK$3</f>
        <v>0.03</v>
      </c>
      <c r="AL29" s="39">
        <f t="shared" si="35"/>
        <v>0</v>
      </c>
      <c r="AM29" s="40">
        <f t="shared" si="36"/>
        <v>0.3</v>
      </c>
      <c r="AO29" s="40">
        <v>45</v>
      </c>
      <c r="AP29" s="40">
        <f t="shared" ref="AP29:AP37" si="39">F29</f>
        <v>2.6930651246719162</v>
      </c>
      <c r="AQ29" s="40">
        <v>1</v>
      </c>
    </row>
    <row r="30" spans="4:43" x14ac:dyDescent="0.25">
      <c r="D30" s="23" t="s">
        <v>42</v>
      </c>
      <c r="E30" s="31" t="s">
        <v>43</v>
      </c>
      <c r="F30" s="32">
        <f t="shared" si="38"/>
        <v>10.43383530183727</v>
      </c>
      <c r="G30" s="33">
        <f>G$3</f>
        <v>254</v>
      </c>
      <c r="H30" s="33">
        <f>H$3</f>
        <v>2</v>
      </c>
      <c r="I30" s="33">
        <f>I$3</f>
        <v>8</v>
      </c>
      <c r="J30" s="47">
        <f>J$3</f>
        <v>0.9</v>
      </c>
      <c r="K30" s="35">
        <f t="shared" si="21"/>
        <v>3657.6</v>
      </c>
      <c r="L30" s="36">
        <f>180000*1.15</f>
        <v>206999.99999999997</v>
      </c>
      <c r="M30" s="37">
        <v>20</v>
      </c>
      <c r="N30" s="38">
        <f>N$3</f>
        <v>30</v>
      </c>
      <c r="O30" s="39">
        <f t="shared" si="22"/>
        <v>600</v>
      </c>
      <c r="P30" s="40">
        <f t="shared" si="23"/>
        <v>0.16404199475065617</v>
      </c>
      <c r="Q30" s="41">
        <f>Q$3</f>
        <v>10</v>
      </c>
      <c r="R30" s="42">
        <f t="shared" si="24"/>
        <v>0.1</v>
      </c>
      <c r="S30" s="39">
        <f t="shared" si="25"/>
        <v>20700</v>
      </c>
      <c r="T30" s="40">
        <f t="shared" si="26"/>
        <v>5.659448818897638</v>
      </c>
      <c r="U30" s="43">
        <f>U$3</f>
        <v>0.08</v>
      </c>
      <c r="V30" s="39">
        <f t="shared" si="27"/>
        <v>8279.9999999999982</v>
      </c>
      <c r="W30" s="40">
        <f t="shared" si="28"/>
        <v>2.2637795275590546</v>
      </c>
      <c r="X30" s="43">
        <f>X$3</f>
        <v>4.4999999999999997E-3</v>
      </c>
      <c r="Y30" s="39">
        <f t="shared" si="29"/>
        <v>931.49999999999977</v>
      </c>
      <c r="Z30" s="40">
        <f t="shared" si="30"/>
        <v>0.25467519685039364</v>
      </c>
      <c r="AA30" s="43">
        <f>AA$3</f>
        <v>0.02</v>
      </c>
      <c r="AB30" s="39">
        <f t="shared" si="31"/>
        <v>4139.9999999999991</v>
      </c>
      <c r="AC30" s="40">
        <f t="shared" si="32"/>
        <v>1.1318897637795273</v>
      </c>
      <c r="AD30" s="37">
        <v>8</v>
      </c>
      <c r="AE30" s="38">
        <f>AE$3</f>
        <v>0.06</v>
      </c>
      <c r="AF30" s="39">
        <f t="shared" si="37"/>
        <v>1755.6479999999999</v>
      </c>
      <c r="AG30" s="37">
        <v>8</v>
      </c>
      <c r="AH30" s="38">
        <f>AH$3</f>
        <v>0.06</v>
      </c>
      <c r="AI30" s="39">
        <f t="shared" si="34"/>
        <v>1755.6479999999999</v>
      </c>
      <c r="AJ30" s="37">
        <v>0</v>
      </c>
      <c r="AK30" s="38">
        <f>AK$3</f>
        <v>0.03</v>
      </c>
      <c r="AL30" s="39">
        <f t="shared" si="35"/>
        <v>0</v>
      </c>
      <c r="AM30" s="40">
        <f t="shared" si="36"/>
        <v>0.96</v>
      </c>
      <c r="AO30" s="40">
        <v>45</v>
      </c>
      <c r="AP30" s="40">
        <f t="shared" si="39"/>
        <v>10.43383530183727</v>
      </c>
      <c r="AQ30" s="40">
        <v>1</v>
      </c>
    </row>
    <row r="31" spans="4:43" x14ac:dyDescent="0.25">
      <c r="D31" s="23" t="s">
        <v>44</v>
      </c>
      <c r="E31" s="31" t="s">
        <v>45</v>
      </c>
      <c r="F31" s="32">
        <f t="shared" si="38"/>
        <v>25.803577755905515</v>
      </c>
      <c r="G31" s="33">
        <f>G$3</f>
        <v>254</v>
      </c>
      <c r="H31" s="33">
        <f>H$3</f>
        <v>2</v>
      </c>
      <c r="I31" s="33">
        <f>I$3</f>
        <v>8</v>
      </c>
      <c r="J31" s="47">
        <f>J$3</f>
        <v>0.9</v>
      </c>
      <c r="K31" s="35">
        <f t="shared" si="21"/>
        <v>3657.6</v>
      </c>
      <c r="L31" s="36">
        <f>450000*1.15</f>
        <v>517499.99999999994</v>
      </c>
      <c r="M31" s="37">
        <v>45</v>
      </c>
      <c r="N31" s="38">
        <f>N$3</f>
        <v>30</v>
      </c>
      <c r="O31" s="39">
        <f t="shared" si="22"/>
        <v>1350</v>
      </c>
      <c r="P31" s="40">
        <f t="shared" si="23"/>
        <v>0.36909448818897639</v>
      </c>
      <c r="Q31" s="41">
        <f>Q$3</f>
        <v>10</v>
      </c>
      <c r="R31" s="42">
        <f t="shared" si="24"/>
        <v>0.1</v>
      </c>
      <c r="S31" s="39">
        <f>IFERROR(L31*R31,0)</f>
        <v>51750</v>
      </c>
      <c r="T31" s="40">
        <f t="shared" si="26"/>
        <v>14.148622047244094</v>
      </c>
      <c r="U31" s="43">
        <f>U$3</f>
        <v>0.08</v>
      </c>
      <c r="V31" s="39">
        <f>L31*U31/2</f>
        <v>20699.999999999996</v>
      </c>
      <c r="W31" s="40">
        <f t="shared" si="28"/>
        <v>5.6594488188976371</v>
      </c>
      <c r="X31" s="43">
        <f>X$3</f>
        <v>4.4999999999999997E-3</v>
      </c>
      <c r="Y31" s="39">
        <f t="shared" si="29"/>
        <v>2328.7499999999995</v>
      </c>
      <c r="Z31" s="40">
        <f t="shared" si="30"/>
        <v>0.63668799212598415</v>
      </c>
      <c r="AA31" s="43">
        <f>AA$3</f>
        <v>0.02</v>
      </c>
      <c r="AB31" s="39">
        <f t="shared" si="31"/>
        <v>10349.999999999998</v>
      </c>
      <c r="AC31" s="40">
        <f t="shared" si="32"/>
        <v>2.8297244094488185</v>
      </c>
      <c r="AD31" s="37">
        <v>18</v>
      </c>
      <c r="AE31" s="38">
        <f>AE$3</f>
        <v>0.06</v>
      </c>
      <c r="AF31" s="39">
        <f t="shared" si="37"/>
        <v>3950.2080000000001</v>
      </c>
      <c r="AG31" s="37">
        <v>18</v>
      </c>
      <c r="AH31" s="38">
        <f>AH$3</f>
        <v>0.06</v>
      </c>
      <c r="AI31" s="39">
        <f t="shared" si="34"/>
        <v>3950.2080000000001</v>
      </c>
      <c r="AJ31" s="37">
        <v>0</v>
      </c>
      <c r="AK31" s="38">
        <f>AK$3</f>
        <v>0.03</v>
      </c>
      <c r="AL31" s="39">
        <f t="shared" si="35"/>
        <v>0</v>
      </c>
      <c r="AM31" s="40">
        <f t="shared" si="36"/>
        <v>2.16</v>
      </c>
      <c r="AO31" s="40">
        <v>45</v>
      </c>
      <c r="AP31" s="40">
        <f t="shared" si="39"/>
        <v>25.803577755905515</v>
      </c>
      <c r="AQ31" s="40">
        <v>1</v>
      </c>
    </row>
    <row r="32" spans="4:43" x14ac:dyDescent="0.25">
      <c r="D32" s="23" t="s">
        <v>46</v>
      </c>
      <c r="E32" s="31" t="s">
        <v>47</v>
      </c>
      <c r="F32" s="32">
        <f t="shared" si="38"/>
        <v>8.4660028433945751</v>
      </c>
      <c r="G32" s="33">
        <f>G$3</f>
        <v>254</v>
      </c>
      <c r="H32" s="33">
        <f>H$3</f>
        <v>2</v>
      </c>
      <c r="I32" s="33">
        <f>I$3</f>
        <v>8</v>
      </c>
      <c r="J32" s="47">
        <f>J$3</f>
        <v>0.9</v>
      </c>
      <c r="K32" s="35">
        <f t="shared" si="21"/>
        <v>3657.6</v>
      </c>
      <c r="L32" s="36">
        <f>140000*1.15</f>
        <v>161000</v>
      </c>
      <c r="M32" s="37">
        <v>25</v>
      </c>
      <c r="N32" s="38">
        <f>N$3</f>
        <v>30</v>
      </c>
      <c r="O32" s="39">
        <f t="shared" si="22"/>
        <v>750</v>
      </c>
      <c r="P32" s="40">
        <f t="shared" si="23"/>
        <v>0.20505249343832022</v>
      </c>
      <c r="Q32" s="41">
        <f>Q$3</f>
        <v>10</v>
      </c>
      <c r="R32" s="42">
        <f t="shared" si="24"/>
        <v>0.1</v>
      </c>
      <c r="S32" s="39">
        <f t="shared" ref="S32:S37" si="40">IFERROR(L32*R32,0)</f>
        <v>16100</v>
      </c>
      <c r="T32" s="40">
        <f t="shared" si="26"/>
        <v>4.401793525809274</v>
      </c>
      <c r="U32" s="43">
        <f>U$3</f>
        <v>0.08</v>
      </c>
      <c r="V32" s="39">
        <f t="shared" ref="V32:V37" si="41">L32*U32/2</f>
        <v>6440</v>
      </c>
      <c r="W32" s="40">
        <f t="shared" si="28"/>
        <v>1.7607174103237095</v>
      </c>
      <c r="X32" s="43">
        <f>X$3</f>
        <v>4.4999999999999997E-3</v>
      </c>
      <c r="Y32" s="39">
        <f t="shared" si="29"/>
        <v>724.5</v>
      </c>
      <c r="Z32" s="40">
        <f t="shared" si="30"/>
        <v>0.19808070866141733</v>
      </c>
      <c r="AA32" s="43">
        <f>AA$3</f>
        <v>0.02</v>
      </c>
      <c r="AB32" s="39">
        <f t="shared" si="31"/>
        <v>3220</v>
      </c>
      <c r="AC32" s="40">
        <f t="shared" si="32"/>
        <v>0.88035870516185477</v>
      </c>
      <c r="AD32" s="37">
        <v>12</v>
      </c>
      <c r="AE32" s="38">
        <f>AE$3</f>
        <v>0.06</v>
      </c>
      <c r="AF32" s="39">
        <f t="shared" si="37"/>
        <v>2633.4719999999998</v>
      </c>
      <c r="AG32" s="37">
        <v>5</v>
      </c>
      <c r="AH32" s="38">
        <f>AH$3</f>
        <v>0.06</v>
      </c>
      <c r="AI32" s="39">
        <f t="shared" si="34"/>
        <v>1097.28</v>
      </c>
      <c r="AJ32" s="37">
        <v>0</v>
      </c>
      <c r="AK32" s="38">
        <f>AK$3</f>
        <v>0.03</v>
      </c>
      <c r="AL32" s="39">
        <f t="shared" si="35"/>
        <v>0</v>
      </c>
      <c r="AM32" s="40">
        <f t="shared" si="36"/>
        <v>1.0199999999999998</v>
      </c>
      <c r="AO32" s="40">
        <v>45</v>
      </c>
      <c r="AP32" s="40">
        <f t="shared" si="39"/>
        <v>8.4660028433945751</v>
      </c>
      <c r="AQ32" s="40">
        <v>1</v>
      </c>
    </row>
    <row r="33" spans="1:59" x14ac:dyDescent="0.25">
      <c r="D33" s="23" t="s">
        <v>48</v>
      </c>
      <c r="E33" s="31" t="s">
        <v>49</v>
      </c>
      <c r="F33" s="32">
        <f t="shared" si="38"/>
        <v>22.505123578302708</v>
      </c>
      <c r="G33" s="33">
        <f>G$3</f>
        <v>254</v>
      </c>
      <c r="H33" s="33">
        <f>H$3</f>
        <v>2</v>
      </c>
      <c r="I33" s="33">
        <f>I$3</f>
        <v>8</v>
      </c>
      <c r="J33" s="47">
        <f>J$3</f>
        <v>0.9</v>
      </c>
      <c r="K33" s="35">
        <f t="shared" si="21"/>
        <v>3657.6</v>
      </c>
      <c r="L33" s="36">
        <f>380000*1.15</f>
        <v>436999.99999999994</v>
      </c>
      <c r="M33" s="37">
        <v>55</v>
      </c>
      <c r="N33" s="38">
        <f>N$3</f>
        <v>30</v>
      </c>
      <c r="O33" s="39">
        <f t="shared" si="22"/>
        <v>1650</v>
      </c>
      <c r="P33" s="40">
        <f t="shared" si="23"/>
        <v>0.45111548556430447</v>
      </c>
      <c r="Q33" s="41">
        <f>Q$3</f>
        <v>10</v>
      </c>
      <c r="R33" s="42">
        <f t="shared" si="24"/>
        <v>0.1</v>
      </c>
      <c r="S33" s="39">
        <f t="shared" si="40"/>
        <v>43700</v>
      </c>
      <c r="T33" s="40">
        <f t="shared" si="26"/>
        <v>11.947725284339457</v>
      </c>
      <c r="U33" s="43">
        <f>U$3</f>
        <v>0.08</v>
      </c>
      <c r="V33" s="39">
        <f t="shared" si="41"/>
        <v>17479.999999999996</v>
      </c>
      <c r="W33" s="40">
        <f t="shared" si="28"/>
        <v>4.7790901137357817</v>
      </c>
      <c r="X33" s="43">
        <f>X$3</f>
        <v>4.4999999999999997E-3</v>
      </c>
      <c r="Y33" s="39">
        <f t="shared" si="29"/>
        <v>1966.4999999999995</v>
      </c>
      <c r="Z33" s="40">
        <f t="shared" si="30"/>
        <v>0.53764763779527547</v>
      </c>
      <c r="AA33" s="43">
        <f>AA$3</f>
        <v>0.02</v>
      </c>
      <c r="AB33" s="39">
        <f t="shared" si="31"/>
        <v>8739.9999999999982</v>
      </c>
      <c r="AC33" s="40">
        <f t="shared" si="32"/>
        <v>2.3895450568678909</v>
      </c>
      <c r="AD33" s="37">
        <v>28</v>
      </c>
      <c r="AE33" s="38">
        <f>AE$3</f>
        <v>0.06</v>
      </c>
      <c r="AF33" s="39">
        <f t="shared" si="37"/>
        <v>6144.768</v>
      </c>
      <c r="AG33" s="37">
        <v>12</v>
      </c>
      <c r="AH33" s="38">
        <f>AH$3</f>
        <v>0.06</v>
      </c>
      <c r="AI33" s="39">
        <f t="shared" si="34"/>
        <v>2633.4719999999998</v>
      </c>
      <c r="AJ33" s="37">
        <v>0</v>
      </c>
      <c r="AK33" s="38">
        <f>AK$3</f>
        <v>0.03</v>
      </c>
      <c r="AL33" s="39">
        <f t="shared" si="35"/>
        <v>0</v>
      </c>
      <c r="AM33" s="40">
        <f t="shared" si="36"/>
        <v>2.4</v>
      </c>
      <c r="AO33" s="40">
        <v>45</v>
      </c>
      <c r="AP33" s="40">
        <f t="shared" si="39"/>
        <v>22.505123578302708</v>
      </c>
      <c r="AQ33" s="40">
        <v>1</v>
      </c>
    </row>
    <row r="34" spans="1:59" x14ac:dyDescent="0.25">
      <c r="D34" s="23" t="s">
        <v>50</v>
      </c>
      <c r="E34" s="31" t="s">
        <v>51</v>
      </c>
      <c r="F34" s="32">
        <f t="shared" si="38"/>
        <v>52.933218503937006</v>
      </c>
      <c r="G34" s="33">
        <f>G$3</f>
        <v>254</v>
      </c>
      <c r="H34" s="33">
        <f>H$3</f>
        <v>2</v>
      </c>
      <c r="I34" s="33">
        <f>I$3</f>
        <v>8</v>
      </c>
      <c r="J34" s="47">
        <f>J$3</f>
        <v>0.9</v>
      </c>
      <c r="K34" s="35">
        <f t="shared" si="21"/>
        <v>3657.6</v>
      </c>
      <c r="L34" s="36">
        <f>900000*1.15</f>
        <v>1034999.9999999999</v>
      </c>
      <c r="M34" s="37">
        <v>120</v>
      </c>
      <c r="N34" s="38">
        <f>N$3</f>
        <v>30</v>
      </c>
      <c r="O34" s="39">
        <f t="shared" si="22"/>
        <v>3600</v>
      </c>
      <c r="P34" s="40">
        <f t="shared" si="23"/>
        <v>0.98425196850393704</v>
      </c>
      <c r="Q34" s="41">
        <f>Q$3</f>
        <v>10</v>
      </c>
      <c r="R34" s="42">
        <f t="shared" si="24"/>
        <v>0.1</v>
      </c>
      <c r="S34" s="39">
        <f t="shared" si="40"/>
        <v>103500</v>
      </c>
      <c r="T34" s="40">
        <f t="shared" si="26"/>
        <v>28.297244094488189</v>
      </c>
      <c r="U34" s="43">
        <f>U$3</f>
        <v>0.08</v>
      </c>
      <c r="V34" s="39">
        <f t="shared" si="41"/>
        <v>41399.999999999993</v>
      </c>
      <c r="W34" s="40">
        <f t="shared" si="28"/>
        <v>11.318897637795274</v>
      </c>
      <c r="X34" s="43">
        <f>X$3</f>
        <v>4.4999999999999997E-3</v>
      </c>
      <c r="Y34" s="39">
        <f t="shared" si="29"/>
        <v>4657.4999999999991</v>
      </c>
      <c r="Z34" s="40">
        <f t="shared" si="30"/>
        <v>1.2733759842519683</v>
      </c>
      <c r="AA34" s="43">
        <f>AA$3</f>
        <v>0.02</v>
      </c>
      <c r="AB34" s="39">
        <f t="shared" si="31"/>
        <v>20699.999999999996</v>
      </c>
      <c r="AC34" s="40">
        <f t="shared" si="32"/>
        <v>5.6594488188976371</v>
      </c>
      <c r="AD34" s="37">
        <v>65</v>
      </c>
      <c r="AE34" s="38">
        <f>AE$3</f>
        <v>0.06</v>
      </c>
      <c r="AF34" s="39">
        <f t="shared" si="37"/>
        <v>14264.64</v>
      </c>
      <c r="AG34" s="37">
        <v>25</v>
      </c>
      <c r="AH34" s="38">
        <f>AH$3</f>
        <v>0.06</v>
      </c>
      <c r="AI34" s="39">
        <f t="shared" si="34"/>
        <v>5486.4</v>
      </c>
      <c r="AJ34" s="37">
        <v>0</v>
      </c>
      <c r="AK34" s="38">
        <f>AK$3</f>
        <v>0.03</v>
      </c>
      <c r="AL34" s="39">
        <f t="shared" si="35"/>
        <v>0</v>
      </c>
      <c r="AM34" s="40">
        <f t="shared" si="36"/>
        <v>5.4</v>
      </c>
      <c r="AO34" s="40">
        <v>45</v>
      </c>
      <c r="AP34" s="40">
        <f t="shared" si="39"/>
        <v>52.933218503937006</v>
      </c>
      <c r="AQ34" s="40">
        <v>1</v>
      </c>
    </row>
    <row r="35" spans="1:59" x14ac:dyDescent="0.25">
      <c r="D35" s="23" t="s">
        <v>52</v>
      </c>
      <c r="E35" s="31" t="s">
        <v>53</v>
      </c>
      <c r="F35" s="32">
        <f t="shared" si="38"/>
        <v>1.693653215223097</v>
      </c>
      <c r="G35" s="33">
        <f>G$3</f>
        <v>254</v>
      </c>
      <c r="H35" s="33">
        <f>H$3</f>
        <v>2</v>
      </c>
      <c r="I35" s="33">
        <f>I$3</f>
        <v>8</v>
      </c>
      <c r="J35" s="47">
        <f>J$3</f>
        <v>0.9</v>
      </c>
      <c r="K35" s="35">
        <f t="shared" si="21"/>
        <v>3657.6</v>
      </c>
      <c r="L35" s="36">
        <f>30000*1.15</f>
        <v>34500</v>
      </c>
      <c r="M35" s="37">
        <v>10</v>
      </c>
      <c r="N35" s="38">
        <f>N$3</f>
        <v>30</v>
      </c>
      <c r="O35" s="39">
        <f t="shared" si="22"/>
        <v>300</v>
      </c>
      <c r="P35" s="40">
        <f t="shared" si="23"/>
        <v>8.2020997375328086E-2</v>
      </c>
      <c r="Q35" s="41">
        <f>Q$3</f>
        <v>10</v>
      </c>
      <c r="R35" s="42">
        <f t="shared" si="24"/>
        <v>0.1</v>
      </c>
      <c r="S35" s="39">
        <f t="shared" si="40"/>
        <v>3450</v>
      </c>
      <c r="T35" s="40">
        <f t="shared" si="26"/>
        <v>0.94324146981627299</v>
      </c>
      <c r="U35" s="43">
        <f>U$3</f>
        <v>0.08</v>
      </c>
      <c r="V35" s="39">
        <f t="shared" si="41"/>
        <v>1380</v>
      </c>
      <c r="W35" s="40">
        <f t="shared" si="28"/>
        <v>0.37729658792650922</v>
      </c>
      <c r="X35" s="43">
        <f>X$3</f>
        <v>4.4999999999999997E-3</v>
      </c>
      <c r="Y35" s="39">
        <f t="shared" si="29"/>
        <v>155.25</v>
      </c>
      <c r="Z35" s="40">
        <f t="shared" si="30"/>
        <v>4.2445866141732284E-2</v>
      </c>
      <c r="AA35" s="43">
        <f>AA$3</f>
        <v>0.02</v>
      </c>
      <c r="AB35" s="39">
        <f t="shared" si="31"/>
        <v>690</v>
      </c>
      <c r="AC35" s="40">
        <f t="shared" si="32"/>
        <v>0.18864829396325461</v>
      </c>
      <c r="AD35" s="37">
        <v>1</v>
      </c>
      <c r="AE35" s="38">
        <f>AE$3</f>
        <v>0.06</v>
      </c>
      <c r="AF35" s="39">
        <f t="shared" si="37"/>
        <v>219.45599999999999</v>
      </c>
      <c r="AG35" s="37">
        <v>0</v>
      </c>
      <c r="AH35" s="38">
        <f>AH$3</f>
        <v>0.06</v>
      </c>
      <c r="AI35" s="39">
        <f t="shared" si="34"/>
        <v>0</v>
      </c>
      <c r="AJ35" s="37">
        <v>0</v>
      </c>
      <c r="AK35" s="38">
        <f>AK$3</f>
        <v>0.03</v>
      </c>
      <c r="AL35" s="39">
        <f t="shared" si="35"/>
        <v>0</v>
      </c>
      <c r="AM35" s="40">
        <f t="shared" si="36"/>
        <v>0.06</v>
      </c>
      <c r="AO35" s="40">
        <v>45</v>
      </c>
      <c r="AP35" s="40">
        <f t="shared" si="39"/>
        <v>1.693653215223097</v>
      </c>
      <c r="AQ35" s="40">
        <v>1</v>
      </c>
    </row>
    <row r="36" spans="1:59" x14ac:dyDescent="0.25">
      <c r="D36" s="23" t="s">
        <v>54</v>
      </c>
      <c r="E36" s="31" t="s">
        <v>55</v>
      </c>
      <c r="F36" s="32">
        <f t="shared" si="38"/>
        <v>6.6105708661417317</v>
      </c>
      <c r="G36" s="33">
        <f>G$3</f>
        <v>254</v>
      </c>
      <c r="H36" s="33">
        <f>H$3</f>
        <v>2</v>
      </c>
      <c r="I36" s="33">
        <f>I$3</f>
        <v>8</v>
      </c>
      <c r="J36" s="47">
        <f>J$3</f>
        <v>0.9</v>
      </c>
      <c r="K36" s="35">
        <f>G36*H36*I36*J36</f>
        <v>3657.6</v>
      </c>
      <c r="L36" s="36">
        <f>120000*1.15</f>
        <v>138000</v>
      </c>
      <c r="M36" s="37">
        <v>20</v>
      </c>
      <c r="N36" s="38">
        <f>N$3</f>
        <v>30</v>
      </c>
      <c r="O36" s="39">
        <f t="shared" si="22"/>
        <v>600</v>
      </c>
      <c r="P36" s="40">
        <f t="shared" si="23"/>
        <v>0.16404199475065617</v>
      </c>
      <c r="Q36" s="41">
        <f>Q$3</f>
        <v>10</v>
      </c>
      <c r="R36" s="42">
        <f t="shared" si="24"/>
        <v>0.1</v>
      </c>
      <c r="S36" s="39">
        <f t="shared" si="40"/>
        <v>13800</v>
      </c>
      <c r="T36" s="40">
        <f t="shared" si="26"/>
        <v>3.772965879265092</v>
      </c>
      <c r="U36" s="43">
        <f>U$3</f>
        <v>0.08</v>
      </c>
      <c r="V36" s="39">
        <f t="shared" si="41"/>
        <v>5520</v>
      </c>
      <c r="W36" s="40">
        <f t="shared" si="28"/>
        <v>1.5091863517060369</v>
      </c>
      <c r="X36" s="43">
        <f>X$3</f>
        <v>4.4999999999999997E-3</v>
      </c>
      <c r="Y36" s="39">
        <f t="shared" si="29"/>
        <v>621</v>
      </c>
      <c r="Z36" s="40">
        <f t="shared" si="30"/>
        <v>0.16978346456692914</v>
      </c>
      <c r="AA36" s="43">
        <f>AA$3</f>
        <v>0.02</v>
      </c>
      <c r="AB36" s="39">
        <f t="shared" si="31"/>
        <v>2760</v>
      </c>
      <c r="AC36" s="40">
        <f t="shared" si="32"/>
        <v>0.75459317585301844</v>
      </c>
      <c r="AD36" s="37">
        <v>4</v>
      </c>
      <c r="AE36" s="38">
        <f>AE$3</f>
        <v>0.06</v>
      </c>
      <c r="AF36" s="39">
        <f t="shared" si="37"/>
        <v>877.82399999999996</v>
      </c>
      <c r="AG36" s="37">
        <v>0</v>
      </c>
      <c r="AH36" s="38">
        <f>AH$3</f>
        <v>0.06</v>
      </c>
      <c r="AI36" s="39">
        <f t="shared" si="34"/>
        <v>0</v>
      </c>
      <c r="AJ36" s="37">
        <v>0</v>
      </c>
      <c r="AK36" s="38">
        <f>AK$3</f>
        <v>0.03</v>
      </c>
      <c r="AL36" s="39">
        <f t="shared" si="35"/>
        <v>0</v>
      </c>
      <c r="AM36" s="40">
        <f t="shared" si="36"/>
        <v>0.24</v>
      </c>
      <c r="AO36" s="40">
        <v>45</v>
      </c>
      <c r="AP36" s="40">
        <f t="shared" si="39"/>
        <v>6.6105708661417317</v>
      </c>
      <c r="AQ36" s="40">
        <v>1</v>
      </c>
    </row>
    <row r="37" spans="1:59" x14ac:dyDescent="0.25">
      <c r="D37" s="23" t="s">
        <v>56</v>
      </c>
      <c r="E37" s="31" t="s">
        <v>57</v>
      </c>
      <c r="F37" s="32">
        <f t="shared" si="38"/>
        <v>4.9956419510061245</v>
      </c>
      <c r="G37" s="33">
        <f>G$3</f>
        <v>254</v>
      </c>
      <c r="H37" s="33">
        <f>H$3</f>
        <v>2</v>
      </c>
      <c r="I37" s="33">
        <f>I$3</f>
        <v>8</v>
      </c>
      <c r="J37" s="47">
        <f>J$3</f>
        <v>0.9</v>
      </c>
      <c r="K37" s="35">
        <f t="shared" ref="K37" si="42">G37*H37*I37*J37</f>
        <v>3657.6</v>
      </c>
      <c r="L37" s="36">
        <v>95000</v>
      </c>
      <c r="M37" s="37">
        <v>15</v>
      </c>
      <c r="N37" s="38">
        <f>N$3</f>
        <v>30</v>
      </c>
      <c r="O37" s="39">
        <f t="shared" si="22"/>
        <v>450</v>
      </c>
      <c r="P37" s="40">
        <f t="shared" si="23"/>
        <v>0.12303149606299213</v>
      </c>
      <c r="Q37" s="41">
        <f>Q$3</f>
        <v>10</v>
      </c>
      <c r="R37" s="42">
        <f t="shared" si="24"/>
        <v>0.1</v>
      </c>
      <c r="S37" s="39">
        <f t="shared" si="40"/>
        <v>9500</v>
      </c>
      <c r="T37" s="40">
        <f t="shared" si="26"/>
        <v>2.5973315835520561</v>
      </c>
      <c r="U37" s="43">
        <f>U$3</f>
        <v>0.08</v>
      </c>
      <c r="V37" s="39">
        <f t="shared" si="41"/>
        <v>3800</v>
      </c>
      <c r="W37" s="40">
        <f t="shared" si="28"/>
        <v>1.0389326334208224</v>
      </c>
      <c r="X37" s="43">
        <f>X$3</f>
        <v>4.4999999999999997E-3</v>
      </c>
      <c r="Y37" s="39">
        <f t="shared" si="29"/>
        <v>427.49999999999994</v>
      </c>
      <c r="Z37" s="40">
        <f t="shared" si="30"/>
        <v>0.11687992125984251</v>
      </c>
      <c r="AA37" s="43">
        <f>AA$3</f>
        <v>0.02</v>
      </c>
      <c r="AB37" s="39">
        <f t="shared" si="31"/>
        <v>1900</v>
      </c>
      <c r="AC37" s="40">
        <f t="shared" si="32"/>
        <v>0.51946631671041121</v>
      </c>
      <c r="AD37" s="37">
        <v>5</v>
      </c>
      <c r="AE37" s="38">
        <f>AE$3</f>
        <v>0.06</v>
      </c>
      <c r="AF37" s="39">
        <f t="shared" si="37"/>
        <v>1097.28</v>
      </c>
      <c r="AG37" s="37">
        <v>5</v>
      </c>
      <c r="AH37" s="38">
        <f>AH$3</f>
        <v>0.06</v>
      </c>
      <c r="AI37" s="39">
        <f t="shared" si="34"/>
        <v>1097.28</v>
      </c>
      <c r="AJ37" s="37">
        <v>0</v>
      </c>
      <c r="AK37" s="38">
        <f>AK$3</f>
        <v>0.03</v>
      </c>
      <c r="AL37" s="39">
        <f t="shared" si="35"/>
        <v>0</v>
      </c>
      <c r="AM37" s="40">
        <f t="shared" si="36"/>
        <v>0.6</v>
      </c>
      <c r="AO37" s="40">
        <v>45</v>
      </c>
      <c r="AP37" s="40">
        <f t="shared" si="39"/>
        <v>4.9956419510061245</v>
      </c>
      <c r="AQ37" s="40">
        <v>1</v>
      </c>
    </row>
    <row r="42" spans="1:59" s="4" customFormat="1" ht="13.8" thickBot="1" x14ac:dyDescent="0.3">
      <c r="A42" s="2"/>
      <c r="B42" s="3"/>
      <c r="C42" s="2"/>
      <c r="D42" s="1"/>
      <c r="E42" s="2"/>
      <c r="F42" s="2"/>
      <c r="G42" s="2"/>
      <c r="H42" s="2"/>
      <c r="I42" s="2"/>
      <c r="J42" s="5"/>
      <c r="K42" s="5"/>
      <c r="L42" s="6"/>
      <c r="M42" s="2"/>
      <c r="N42" s="2"/>
      <c r="O42" s="2"/>
      <c r="P42" s="1"/>
      <c r="Q42" s="7"/>
      <c r="R42" s="5"/>
      <c r="S42" s="6"/>
      <c r="T42" s="8"/>
      <c r="U42" s="5"/>
      <c r="V42" s="6"/>
      <c r="W42" s="8"/>
      <c r="X42" s="5"/>
      <c r="Y42" s="6"/>
      <c r="Z42" s="8"/>
      <c r="AA42" s="5"/>
      <c r="AB42" s="6"/>
      <c r="AC42" s="8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8"/>
      <c r="AP42" s="8"/>
      <c r="AQ42" s="8"/>
      <c r="AR42" s="2"/>
      <c r="AS42" s="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4" customFormat="1" ht="13.8" thickBot="1" x14ac:dyDescent="0.3">
      <c r="A43" s="2"/>
      <c r="B43" s="3"/>
      <c r="C43" s="2"/>
      <c r="D43" s="56" t="s">
        <v>58</v>
      </c>
      <c r="E43" s="57"/>
      <c r="F43" s="58" t="s">
        <v>59</v>
      </c>
      <c r="G43" s="2"/>
      <c r="H43" s="2"/>
      <c r="I43" s="2"/>
      <c r="J43" s="5"/>
      <c r="K43" s="5"/>
      <c r="L43" s="6"/>
      <c r="M43" s="2"/>
      <c r="N43" s="2"/>
      <c r="O43" s="2"/>
      <c r="P43" s="1"/>
      <c r="Q43" s="7"/>
      <c r="R43" s="5"/>
      <c r="S43" s="6"/>
      <c r="T43" s="8"/>
      <c r="U43" s="5"/>
      <c r="V43" s="6"/>
      <c r="W43" s="8"/>
      <c r="X43" s="5"/>
      <c r="Y43" s="6"/>
      <c r="Z43" s="8"/>
      <c r="AA43" s="5"/>
      <c r="AB43" s="6"/>
      <c r="AC43" s="8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8"/>
      <c r="AP43" s="8"/>
      <c r="AQ43" s="8"/>
      <c r="AR43" s="2"/>
      <c r="AS43" s="3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ht="13.8" thickBot="1" x14ac:dyDescent="0.3">
      <c r="D44" s="59"/>
      <c r="E44" s="16"/>
      <c r="F44" s="16"/>
      <c r="G44" s="16"/>
    </row>
    <row r="45" spans="1:59" x14ac:dyDescent="0.25">
      <c r="D45" s="60" t="s">
        <v>60</v>
      </c>
      <c r="E45" s="61"/>
      <c r="F45" s="61"/>
      <c r="G45" s="62"/>
    </row>
    <row r="46" spans="1:59" x14ac:dyDescent="0.25">
      <c r="D46" s="63"/>
      <c r="E46" s="64" t="s">
        <v>61</v>
      </c>
      <c r="F46" s="65">
        <v>12</v>
      </c>
      <c r="G46" s="66" t="s">
        <v>62</v>
      </c>
    </row>
    <row r="47" spans="1:59" ht="13.8" thickBot="1" x14ac:dyDescent="0.3">
      <c r="D47" s="67"/>
      <c r="E47" s="68" t="s">
        <v>63</v>
      </c>
      <c r="F47" s="69">
        <v>25</v>
      </c>
      <c r="G47" s="70" t="s">
        <v>62</v>
      </c>
    </row>
    <row r="48" spans="1:59" ht="13.8" thickBot="1" x14ac:dyDescent="0.3">
      <c r="D48" s="1"/>
      <c r="F48" s="2"/>
    </row>
    <row r="49" spans="4:7" x14ac:dyDescent="0.25">
      <c r="D49" s="60" t="s">
        <v>64</v>
      </c>
      <c r="E49" s="61"/>
      <c r="F49" s="61"/>
      <c r="G49" s="62"/>
    </row>
    <row r="50" spans="4:7" x14ac:dyDescent="0.25">
      <c r="D50" s="63"/>
      <c r="E50" s="64" t="s">
        <v>65</v>
      </c>
      <c r="F50" s="71">
        <v>2</v>
      </c>
      <c r="G50" s="66" t="s">
        <v>29</v>
      </c>
    </row>
    <row r="51" spans="4:7" x14ac:dyDescent="0.25">
      <c r="D51" s="63"/>
      <c r="E51" s="64" t="s">
        <v>66</v>
      </c>
      <c r="F51" s="71">
        <v>3</v>
      </c>
      <c r="G51" s="66" t="s">
        <v>29</v>
      </c>
    </row>
    <row r="52" spans="4:7" x14ac:dyDescent="0.25">
      <c r="D52" s="63"/>
      <c r="E52" s="64" t="s">
        <v>67</v>
      </c>
      <c r="F52" s="71">
        <v>22</v>
      </c>
      <c r="G52" s="66" t="s">
        <v>29</v>
      </c>
    </row>
    <row r="53" spans="4:7" ht="13.8" thickBot="1" x14ac:dyDescent="0.3">
      <c r="D53" s="67"/>
      <c r="E53" s="68" t="s">
        <v>68</v>
      </c>
      <c r="F53" s="72">
        <v>10</v>
      </c>
      <c r="G53" s="70" t="s">
        <v>29</v>
      </c>
    </row>
    <row r="54" spans="4:7" ht="13.8" thickBot="1" x14ac:dyDescent="0.3">
      <c r="D54" s="1"/>
      <c r="F54" s="2"/>
    </row>
    <row r="55" spans="4:7" x14ac:dyDescent="0.25">
      <c r="D55" s="60" t="s">
        <v>69</v>
      </c>
      <c r="E55" s="61"/>
      <c r="F55" s="61"/>
      <c r="G55" s="62"/>
    </row>
    <row r="56" spans="4:7" x14ac:dyDescent="0.25">
      <c r="D56" s="63"/>
      <c r="E56" s="64" t="s">
        <v>70</v>
      </c>
      <c r="F56" s="73">
        <v>15</v>
      </c>
      <c r="G56" s="66" t="s">
        <v>29</v>
      </c>
    </row>
    <row r="57" spans="4:7" ht="13.8" thickBot="1" x14ac:dyDescent="0.3">
      <c r="D57" s="67"/>
      <c r="E57" s="68" t="s">
        <v>71</v>
      </c>
      <c r="F57" s="72">
        <v>6</v>
      </c>
      <c r="G57" s="70" t="s">
        <v>29</v>
      </c>
    </row>
    <row r="58" spans="4:7" ht="13.8" thickBot="1" x14ac:dyDescent="0.3">
      <c r="D58" s="1"/>
      <c r="F58" s="2"/>
    </row>
    <row r="59" spans="4:7" x14ac:dyDescent="0.25">
      <c r="D59" s="60" t="s">
        <v>72</v>
      </c>
      <c r="E59" s="61"/>
      <c r="F59" s="61"/>
      <c r="G59" s="62"/>
    </row>
    <row r="60" spans="4:7" x14ac:dyDescent="0.25">
      <c r="D60" s="63"/>
      <c r="E60" s="64" t="s">
        <v>73</v>
      </c>
      <c r="F60" s="71">
        <v>9</v>
      </c>
      <c r="G60" s="66" t="s">
        <v>74</v>
      </c>
    </row>
    <row r="61" spans="4:7" x14ac:dyDescent="0.25">
      <c r="D61" s="63"/>
      <c r="E61" s="64" t="s">
        <v>75</v>
      </c>
      <c r="F61" s="71">
        <v>10</v>
      </c>
      <c r="G61" s="66" t="s">
        <v>76</v>
      </c>
    </row>
    <row r="62" spans="4:7" x14ac:dyDescent="0.25">
      <c r="D62" s="74" t="str">
        <f>"either produce "&amp;F60&amp;" hours (1 shift) before setup"</f>
        <v>either produce 9 hours (1 shift) before setup</v>
      </c>
      <c r="F62" s="2"/>
      <c r="G62" s="75"/>
    </row>
    <row r="63" spans="4:7" ht="13.8" thickBot="1" x14ac:dyDescent="0.3">
      <c r="D63" s="76" t="str">
        <f>"or produce the required volume for "&amp;F61&amp;" working days"</f>
        <v>or produce the required volume for 10 working days</v>
      </c>
      <c r="E63" s="77"/>
      <c r="F63" s="77"/>
      <c r="G63" s="78"/>
    </row>
    <row r="64" spans="4:7" x14ac:dyDescent="0.25">
      <c r="D64" s="1"/>
      <c r="F64" s="2"/>
    </row>
  </sheetData>
  <mergeCells count="9">
    <mergeCell ref="AD4:AM4"/>
    <mergeCell ref="F1:AM1"/>
    <mergeCell ref="AO1:AQ1"/>
    <mergeCell ref="G4:K4"/>
    <mergeCell ref="M4:P4"/>
    <mergeCell ref="Q4:T4"/>
    <mergeCell ref="U4:W4"/>
    <mergeCell ref="X4:Z4"/>
    <mergeCell ref="AA4:AC4"/>
  </mergeCells>
  <dataValidations count="1">
    <dataValidation type="list" allowBlank="1" showInputMessage="1" showErrorMessage="1" sqref="F43" xr:uid="{3FAAD511-F62C-4CC3-B2B4-8D1457F2299F}">
      <formula1>"Dammam,KAEC"</formula1>
    </dataValidation>
  </dataValidation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Costing_Base_Data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Zende</dc:creator>
  <cp:lastModifiedBy>Johannes Zende</cp:lastModifiedBy>
  <dcterms:created xsi:type="dcterms:W3CDTF">2026-08-26T09:15:17Z</dcterms:created>
  <dcterms:modified xsi:type="dcterms:W3CDTF">2026-08-26T09:27:17Z</dcterms:modified>
</cp:coreProperties>
</file>